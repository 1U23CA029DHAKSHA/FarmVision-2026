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ks\Documents\"/>
    </mc:Choice>
  </mc:AlternateContent>
  <xr:revisionPtr revIDLastSave="0" documentId="8_{403FF057-5D3E-4606-B7EF-6F04F42973D6}" xr6:coauthVersionLast="47" xr6:coauthVersionMax="47" xr10:uidLastSave="{00000000-0000-0000-0000-000000000000}"/>
  <bookViews>
    <workbookView xWindow="-120" yWindow="-120" windowWidth="20730" windowHeight="11040" firstSheet="1" activeTab="5" xr2:uid="{89F18984-DD14-477D-81F5-02D5E7BA55B5}"/>
  </bookViews>
  <sheets>
    <sheet name="Crop_Cultivation" sheetId="1" r:id="rId1"/>
    <sheet name="Expenses" sheetId="2" r:id="rId2"/>
    <sheet name="Harvest" sheetId="3" r:id="rId3"/>
    <sheet name="Sales" sheetId="4" r:id="rId4"/>
    <sheet name="Summary" sheetId="5" r:id="rId5"/>
    <sheet name="Dashboard" sheetId="8" r:id="rId6"/>
    <sheet name="Insights" sheetId="9" r:id="rId7"/>
    <sheet name="Data_Dictionary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5" l="1"/>
  <c r="J7" i="5" s="1"/>
  <c r="K7" i="5" s="1"/>
  <c r="G8" i="5"/>
  <c r="J8" i="5" s="1"/>
  <c r="K8" i="5" s="1"/>
  <c r="G9" i="5"/>
  <c r="I5" i="8"/>
  <c r="G5" i="8"/>
  <c r="E5" i="8"/>
  <c r="C5" i="8"/>
  <c r="A5" i="8"/>
  <c r="K9" i="5"/>
  <c r="J9" i="5"/>
  <c r="I8" i="5"/>
  <c r="I9" i="5"/>
  <c r="I7" i="5"/>
  <c r="I3" i="4"/>
  <c r="I4" i="4"/>
  <c r="H3" i="4"/>
  <c r="H4" i="4"/>
  <c r="I2" i="4"/>
  <c r="H2" i="4"/>
  <c r="H8" i="5"/>
  <c r="H9" i="5"/>
  <c r="H7" i="5"/>
  <c r="H3" i="3"/>
  <c r="H4" i="3"/>
  <c r="G3" i="3"/>
  <c r="G4" i="3"/>
  <c r="H2" i="3"/>
  <c r="G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2" i="2"/>
  <c r="F8" i="5"/>
  <c r="F9" i="5"/>
  <c r="F7" i="5"/>
  <c r="I66" i="2"/>
  <c r="G66" i="2"/>
  <c r="E15" i="5"/>
  <c r="E14" i="5"/>
  <c r="E13" i="5"/>
  <c r="E12" i="5"/>
  <c r="B12" i="5"/>
  <c r="B14" i="5" s="1"/>
  <c r="H3" i="5"/>
  <c r="H4" i="5"/>
  <c r="G3" i="5"/>
  <c r="G4" i="5"/>
  <c r="F3" i="5"/>
  <c r="F4" i="5"/>
  <c r="G2" i="5"/>
  <c r="B4" i="5" s="1"/>
  <c r="F2" i="5"/>
  <c r="B3" i="5" s="1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E3" i="5"/>
  <c r="B2" i="5" s="1"/>
  <c r="E4" i="5"/>
  <c r="E2" i="5"/>
  <c r="F4" i="4"/>
  <c r="F3" i="4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5" i="2"/>
  <c r="G6" i="2"/>
  <c r="G7" i="2"/>
  <c r="G8" i="2"/>
  <c r="G9" i="2"/>
  <c r="G10" i="2"/>
  <c r="G11" i="2"/>
  <c r="G3" i="2"/>
  <c r="G4" i="2"/>
  <c r="G2" i="2"/>
  <c r="F2" i="4"/>
  <c r="F5" i="4" s="1"/>
  <c r="B7" i="5" l="1"/>
  <c r="B8" i="5"/>
  <c r="I3" i="5"/>
  <c r="J3" i="5" s="1"/>
  <c r="H2" i="5"/>
  <c r="I4" i="5"/>
  <c r="J4" i="5" s="1"/>
  <c r="I2" i="5" l="1"/>
  <c r="J2" i="5" s="1"/>
  <c r="B5" i="5"/>
  <c r="B6" i="5" s="1"/>
  <c r="B9" i="5" s="1"/>
</calcChain>
</file>

<file path=xl/sharedStrings.xml><?xml version="1.0" encoding="utf-8"?>
<sst xmlns="http://schemas.openxmlformats.org/spreadsheetml/2006/main" count="585" uniqueCount="208">
  <si>
    <t>Cultivation_ID</t>
  </si>
  <si>
    <t>Crop</t>
  </si>
  <si>
    <t>Area_Acres</t>
  </si>
  <si>
    <t>Planting_Month</t>
  </si>
  <si>
    <t>Year</t>
  </si>
  <si>
    <t>C001</t>
  </si>
  <si>
    <t>Lady's Finger</t>
  </si>
  <si>
    <t>January</t>
  </si>
  <si>
    <t>C002</t>
  </si>
  <si>
    <t>Maize</t>
  </si>
  <si>
    <t>C003</t>
  </si>
  <si>
    <t>Cotton</t>
  </si>
  <si>
    <t>February</t>
  </si>
  <si>
    <t>C004</t>
  </si>
  <si>
    <t>September</t>
  </si>
  <si>
    <t>C005</t>
  </si>
  <si>
    <t>C006</t>
  </si>
  <si>
    <t>Expense_ID</t>
  </si>
  <si>
    <t>Category</t>
  </si>
  <si>
    <t>Type</t>
  </si>
  <si>
    <t>Amount_Per_Acre</t>
  </si>
  <si>
    <t>Area</t>
  </si>
  <si>
    <t>Total</t>
  </si>
  <si>
    <t>Status</t>
  </si>
  <si>
    <t>E001</t>
  </si>
  <si>
    <t>Fertilizer</t>
  </si>
  <si>
    <t>Approximate</t>
  </si>
  <si>
    <t>E002</t>
  </si>
  <si>
    <t>Pesticide</t>
  </si>
  <si>
    <t>E003</t>
  </si>
  <si>
    <t>Labour</t>
  </si>
  <si>
    <t>Land filling</t>
  </si>
  <si>
    <t>E004</t>
  </si>
  <si>
    <t>Manual tilling</t>
  </si>
  <si>
    <t>E005</t>
  </si>
  <si>
    <t>Planting</t>
  </si>
  <si>
    <t>E006</t>
  </si>
  <si>
    <t>Weeding</t>
  </si>
  <si>
    <t>E007</t>
  </si>
  <si>
    <t>Harvesting</t>
  </si>
  <si>
    <t>E008</t>
  </si>
  <si>
    <t>Threshing</t>
  </si>
  <si>
    <t>E009</t>
  </si>
  <si>
    <t>Irrigation</t>
  </si>
  <si>
    <t>E010</t>
  </si>
  <si>
    <t>Seed</t>
  </si>
  <si>
    <t>Harvest_ID</t>
  </si>
  <si>
    <t>Harvest_No</t>
  </si>
  <si>
    <t>Quantity_Kg</t>
  </si>
  <si>
    <t>Data_Status</t>
  </si>
  <si>
    <t>H001</t>
  </si>
  <si>
    <t>Sale_ID</t>
  </si>
  <si>
    <t>Selling_Price_Per_Kg</t>
  </si>
  <si>
    <t>Total_Revenue</t>
  </si>
  <si>
    <t>S001</t>
  </si>
  <si>
    <t>Metric</t>
  </si>
  <si>
    <t>Value</t>
  </si>
  <si>
    <t>Total Cultivated Area</t>
  </si>
  <si>
    <t>Total Expenses</t>
  </si>
  <si>
    <t>Total Production (Kg)</t>
  </si>
  <si>
    <t>Total Revenue</t>
  </si>
  <si>
    <t>Total Profit</t>
  </si>
  <si>
    <t>Cost Per Acre</t>
  </si>
  <si>
    <t>Yield Per Acre</t>
  </si>
  <si>
    <t>ROI %</t>
  </si>
  <si>
    <t>E011</t>
  </si>
  <si>
    <t>Fertilizer - Application 1</t>
  </si>
  <si>
    <t>E012</t>
  </si>
  <si>
    <t>Fertilizer - Application 2</t>
  </si>
  <si>
    <t>E013</t>
  </si>
  <si>
    <t>Pesticide - Day 20</t>
  </si>
  <si>
    <t>E014</t>
  </si>
  <si>
    <t>Pesticide - Day 40</t>
  </si>
  <si>
    <t>E015</t>
  </si>
  <si>
    <t>Pesticide - Day 50</t>
  </si>
  <si>
    <t>E016</t>
  </si>
  <si>
    <t>Pesticide - Day 60</t>
  </si>
  <si>
    <t>E017</t>
  </si>
  <si>
    <t>Pesticide - Day 70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</si>
  <si>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</si>
  <si>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</si>
  <si>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</si>
  <si>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</si>
  <si>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</si>
  <si>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</si>
  <si>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</si>
  <si>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</si>
  <si>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</si>
  <si>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Pesticide - Application 1</t>
  </si>
  <si>
    <t>E027</t>
  </si>
  <si>
    <t>Pesticide - Application 2</t>
  </si>
  <si>
    <t>E028</t>
  </si>
  <si>
    <t>Pesticide - Application 3</t>
  </si>
  <si>
    <t>E029</t>
  </si>
  <si>
    <t>Pesticide - Application 4</t>
  </si>
  <si>
    <t>E030</t>
  </si>
  <si>
    <t>Land tilling</t>
  </si>
  <si>
    <t>E031</t>
  </si>
  <si>
    <t>E032</t>
  </si>
  <si>
    <t>E033</t>
  </si>
  <si>
    <t>E034</t>
  </si>
  <si>
    <t>E035</t>
  </si>
  <si>
    <t>E036</t>
  </si>
  <si>
    <t>Cultivation_Status</t>
  </si>
  <si>
    <t>Actual</t>
  </si>
  <si>
    <t>Planned</t>
  </si>
  <si>
    <t>E037</t>
  </si>
  <si>
    <t>Planned Estimate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</si>
  <si>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</si>
  <si>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</si>
  <si>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</si>
  <si>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</si>
  <si>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</si>
  <si>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</si>
  <si>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</si>
  <si>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</si>
  <si>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</si>
  <si>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</si>
  <si>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</si>
  <si>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</si>
  <si>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</si>
  <si>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</si>
  <si>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</si>
  <si>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</si>
  <si>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</si>
  <si>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</si>
  <si>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</si>
  <si>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</si>
  <si>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</si>
  <si>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</si>
  <si>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</si>
  <si>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</si>
  <si>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</si>
  <si>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</si>
  <si>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</si>
  <si>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H002</t>
  </si>
  <si>
    <t>S002</t>
  </si>
  <si>
    <t>S003</t>
  </si>
  <si>
    <t>H003</t>
  </si>
  <si>
    <t>Total_Cost</t>
  </si>
  <si>
    <t>Production_Kg</t>
  </si>
  <si>
    <t>Revenue</t>
  </si>
  <si>
    <t>Profit</t>
  </si>
  <si>
    <t>ROI_%</t>
  </si>
  <si>
    <t>Check</t>
  </si>
  <si>
    <t>Result</t>
  </si>
  <si>
    <t>Actual cultivated area</t>
  </si>
  <si>
    <t>Expected farm area</t>
  </si>
  <si>
    <t>Area check</t>
  </si>
  <si>
    <t>Total Harvest</t>
  </si>
  <si>
    <t>Total Sold</t>
  </si>
  <si>
    <t>Difference</t>
  </si>
  <si>
    <t>Sales reconciliation</t>
  </si>
  <si>
    <t>Field_Name</t>
  </si>
  <si>
    <t>Description</t>
  </si>
  <si>
    <t>Data_Type</t>
  </si>
  <si>
    <t>Example</t>
  </si>
  <si>
    <t>Unique ID for each crop cultivation cycle</t>
  </si>
  <si>
    <t>Text</t>
  </si>
  <si>
    <t>Name of crop cultivated</t>
  </si>
  <si>
    <t>Area used for cultivation</t>
  </si>
  <si>
    <t>Number</t>
  </si>
  <si>
    <t>Month cultivation started</t>
  </si>
  <si>
    <t>Cultivation year</t>
  </si>
  <si>
    <t>Actual or planned cultivation</t>
  </si>
  <si>
    <t>Unique ID for each expense</t>
  </si>
  <si>
    <t>Main expense group</t>
  </si>
  <si>
    <t>Specific expense</t>
  </si>
  <si>
    <t>Approximate cost for one acre</t>
  </si>
  <si>
    <t>Area to which expense applies</t>
  </si>
  <si>
    <t>Calculated expense</t>
  </si>
  <si>
    <t>Unique harvest record ID</t>
  </si>
  <si>
    <t>Total harvested quantity</t>
  </si>
  <si>
    <t>Unique sales record ID</t>
  </si>
  <si>
    <t>Selling price per kg</t>
  </si>
  <si>
    <t>Quantity × selling price</t>
  </si>
  <si>
    <t>E065</t>
  </si>
  <si>
    <t>Month</t>
  </si>
  <si>
    <t>FARMVISION 2026</t>
  </si>
  <si>
    <t>Farm Performance &amp; Profitability Dashboard</t>
  </si>
  <si>
    <t>Total Area</t>
  </si>
  <si>
    <t>Overall ROI</t>
  </si>
  <si>
    <t>Dindigul District | 8½ Bus Thottam | 4 Acres | 2026</t>
  </si>
  <si>
    <t>Harvested crop</t>
  </si>
  <si>
    <t>Harvest sequence number</t>
  </si>
  <si>
    <t>Crop sold</t>
  </si>
  <si>
    <t>Quantity sold</t>
  </si>
  <si>
    <t>Links expense to cultivation cycle</t>
  </si>
  <si>
    <t>Whether the expense is approximate/planned</t>
  </si>
  <si>
    <t>Links harvest to cultivation cycle</t>
  </si>
  <si>
    <t>Quality/status of harvest value</t>
  </si>
  <si>
    <t>Links sale to cultivation cycle</t>
  </si>
  <si>
    <t>Quality/status of sales value</t>
  </si>
  <si>
    <t>FarmVision 2026 — Key Insights</t>
  </si>
  <si>
    <t>Insight</t>
  </si>
  <si>
    <t>Finding</t>
  </si>
  <si>
    <t>Most Profitable Crop</t>
  </si>
  <si>
    <t>Highest Revenue Crop</t>
  </si>
  <si>
    <t>Highest ROI Crop</t>
  </si>
  <si>
    <t>Lowest Performing Crop</t>
  </si>
  <si>
    <t>Monthly Performance</t>
  </si>
  <si>
    <t>Key Recommendation</t>
  </si>
  <si>
    <t>Cotton generated the highest profit of ₹56,000.</t>
  </si>
  <si>
    <t>Maize generated the highest revenue of ₹100,000.</t>
  </si>
  <si>
    <t>Cotton achieved the highest ROI at 140%.</t>
  </si>
  <si>
    <t>Lady's Finger recorded a loss of ₹21,500 and an ROI of −35.54%.</t>
  </si>
  <si>
    <t>February generated ₹56,000 profit from 1 acre, compared with ₹25,300 profit from 3 acres in January.</t>
  </si>
  <si>
    <t>Review Lady's Finger cultivation costs and selling price before expanding its cultivated area. Cotton currently shows the strongest profitability and ROI among the analyzed crops.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</si>
</sst>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9"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Crop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Summary!$D$2:$D$4</c:f>
              <c:strCache>
                <c:ptCount val="3"/>
                <c:pt idx="0">
                  <c:v>Maize</c:v>
                </c:pt>
                <c:pt idx="1">
                  <c:v>Cotton</c:v>
                </c:pt>
                <c:pt idx="2">
                  <c:v>Lady's Finger</c:v>
                </c:pt>
              </c:strCache>
            </c:strRef>
          </c:cat>
          <c:val>
            <c:numRef>
              <c:f>Summary!$H$2:$H$4</c:f>
              <c:numCache>
                <c:formatCode>General</c:formatCode>
                <c:ptCount val="3"/>
                <c:pt idx="0">
                  <c:v>100000</c:v>
                </c:pt>
                <c:pt idx="1">
                  <c:v>96000</c:v>
                </c:pt>
                <c:pt idx="2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B-49A7-AF22-500E010D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766528"/>
        <c:axId val="2085784272"/>
      </c:barChart>
      <c:catAx>
        <c:axId val="204576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84272"/>
        <c:crosses val="autoZero"/>
        <c:auto val="1"/>
        <c:lblAlgn val="ctr"/>
        <c:lblOffset val="100"/>
        <c:noMultiLvlLbl val="0"/>
      </c:catAx>
      <c:valAx>
        <c:axId val="20857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Crop-2026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Summary!$D$2:$D$4</c:f>
              <c:strCache>
                <c:ptCount val="3"/>
                <c:pt idx="0">
                  <c:v>Maize</c:v>
                </c:pt>
                <c:pt idx="1">
                  <c:v>Cotton</c:v>
                </c:pt>
                <c:pt idx="2">
                  <c:v>Lady's Finger</c:v>
                </c:pt>
              </c:strCache>
            </c:strRef>
          </c:cat>
          <c:val>
            <c:numRef>
              <c:f>Summary!$I$2:$I$4</c:f>
              <c:numCache>
                <c:formatCode>General</c:formatCode>
                <c:ptCount val="3"/>
                <c:pt idx="0">
                  <c:v>46800</c:v>
                </c:pt>
                <c:pt idx="1">
                  <c:v>56000</c:v>
                </c:pt>
                <c:pt idx="2">
                  <c:v>-21500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7-4FC3-A1A4-4D0E15562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607008"/>
        <c:axId val="2085863952"/>
      </c:barChart>
      <c:catAx>
        <c:axId val="38060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63952"/>
        <c:crosses val="autoZero"/>
        <c:auto val="1"/>
        <c:lblAlgn val="ctr"/>
        <c:lblOffset val="100"/>
        <c:noMultiLvlLbl val="0"/>
      </c:catAx>
      <c:valAx>
        <c:axId val="20858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0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Cost by Crop-2026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Total_Cost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Summary!$D$2:$D$4</c:f>
              <c:strCache>
                <c:ptCount val="3"/>
                <c:pt idx="0">
                  <c:v>Maize</c:v>
                </c:pt>
                <c:pt idx="1">
                  <c:v>Cotton</c:v>
                </c:pt>
                <c:pt idx="2">
                  <c:v>Lady's Finger</c:v>
                </c:pt>
              </c:strCache>
            </c:strRef>
          </c:cat>
          <c:val>
            <c:numRef>
              <c:f>Summary!$F$2:$F$4</c:f>
              <c:numCache>
                <c:formatCode>General</c:formatCode>
                <c:ptCount val="3"/>
                <c:pt idx="0">
                  <c:v>53200</c:v>
                </c:pt>
                <c:pt idx="1">
                  <c:v>40000</c:v>
                </c:pt>
                <c:pt idx="2">
                  <c:v>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7-43F8-AAA6-2A36D1C7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968448"/>
        <c:axId val="2085766992"/>
      </c:barChart>
      <c:catAx>
        <c:axId val="3019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66992"/>
        <c:crosses val="autoZero"/>
        <c:auto val="1"/>
        <c:lblAlgn val="ctr"/>
        <c:lblOffset val="100"/>
        <c:noMultiLvlLbl val="0"/>
      </c:catAx>
      <c:valAx>
        <c:axId val="20857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Revenue vs Cost-2026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Summary!$G$6</c:f>
              <c:strCache>
                <c:ptCount val="1"/>
                <c:pt idx="0">
                  <c:v>Total_Cost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Summary!$D$7:$D$9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September</c:v>
                </c:pt>
              </c:strCache>
            </c:strRef>
          </c:cat>
          <c:val>
            <c:numRef>
              <c:f>Summary!$G$7:$G$9</c:f>
              <c:numCache>
                <c:formatCode>General</c:formatCode>
                <c:ptCount val="3"/>
                <c:pt idx="0">
                  <c:v>113700</c:v>
                </c:pt>
                <c:pt idx="1">
                  <c:v>40000</c:v>
                </c:pt>
                <c:pt idx="2">
                  <c:v>153700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C-4A9F-90A8-27E3B19BAF77}"/>
            </c:ext>
          </c:extLst>
        </c:ser>
        <c:ser>
          <c:idx val="1"/>
          <c:order val="1"/>
          <c:tx>
            <c:strRef>
              <c:f>Summary!$I$6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Summary!$D$7:$D$9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September</c:v>
                </c:pt>
              </c:strCache>
            </c:strRef>
          </c:cat>
          <c:val>
            <c:numRef>
              <c:f>Summary!$I$7:$I$9</c:f>
              <c:numCache>
                <c:formatCode>General</c:formatCode>
                <c:ptCount val="3"/>
                <c:pt idx="0">
                  <c:v>139000</c:v>
                </c:pt>
                <c:pt idx="1">
                  <c:v>96000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C-4A9F-90A8-27E3B19BA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60688"/>
        <c:axId val="2085781872"/>
      </c:barChart>
      <c:catAx>
        <c:axId val="3816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81872"/>
        <c:crosses val="autoZero"/>
        <c:auto val="1"/>
        <c:lblAlgn val="ctr"/>
        <c:lblOffset val="100"/>
        <c:noMultiLvlLbl val="0"/>
      </c:catAx>
      <c:valAx>
        <c:axId val="20857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6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ROI by Crop-2026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ROI_%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Summary!$D$2:$D$4</c:f>
              <c:strCache>
                <c:ptCount val="3"/>
                <c:pt idx="0">
                  <c:v>Maize</c:v>
                </c:pt>
                <c:pt idx="1">
                  <c:v>Cotton</c:v>
                </c:pt>
                <c:pt idx="2">
                  <c:v>Lady's Finger</c:v>
                </c:pt>
              </c:strCache>
            </c:strRef>
          </c:cat>
          <c:val>
            <c:numRef>
              <c:f>Summary!$J$2:$J$4</c:f>
              <c:numCache>
                <c:formatCode>0.00%</c:formatCode>
                <c:ptCount val="3"/>
                <c:pt idx="0">
                  <c:v>0.87969924812030076</c:v>
                </c:pt>
                <c:pt idx="1">
                  <c:v>1.4</c:v>
                </c:pt>
                <c:pt idx="2">
                  <c:v>-0.35537190082644626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A-43D5-9DD6-03CAB2808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258336"/>
        <c:axId val="2085851952"/>
      </c:barChart>
      <c:catAx>
        <c:axId val="4402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51952"/>
        <c:crosses val="autoZero"/>
        <c:auto val="1"/>
        <c:lblAlgn val="ctr"/>
        <c:lblOffset val="100"/>
        <c:noMultiLvlLbl val="0"/>
      </c:catAx>
      <c:valAx>
        <c:axId val="20858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Cultivated Area — 2026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Summary!$F$6</c:f>
              <c:strCache>
                <c:ptCount val="1"/>
                <c:pt idx="0">
                  <c:v>Area_Acres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Summary!$D$7:$D$9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September</c:v>
                </c:pt>
              </c:strCache>
            </c:strRef>
          </c:cat>
          <c:val>
            <c:numRef>
              <c:f>Summary!$F$7:$F$9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1-4C02-A82D-FAA1E57FF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209472"/>
        <c:axId val="2085777552"/>
      </c:barChart>
      <c:catAx>
        <c:axId val="2872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77552"/>
        <c:crosses val="autoZero"/>
        <c:auto val="1"/>
        <c:lblAlgn val="ctr"/>
        <c:lblOffset val="100"/>
        <c:noMultiLvlLbl val="0"/>
      </c:catAx>
      <c:valAx>
        <c:axId val="208577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0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9525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6DDC0-1DB8-41DB-88CC-6285B9738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</xdr:rowOff>
    </xdr:from>
    <xdr:to>
      <xdr:col>10</xdr:col>
      <xdr:colOff>600075</xdr:colOff>
      <xdr:row>17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FDC99F-4EB5-4C41-AA9F-0145CB256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190499</xdr:rowOff>
    </xdr:from>
    <xdr:to>
      <xdr:col>5</xdr:col>
      <xdr:colOff>0</xdr:colOff>
      <xdr:row>31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F9396-85A1-4154-B45A-4FF63C5DB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0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F0708C-AB2B-4FA6-9F8A-34CF143B7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4</xdr:col>
      <xdr:colOff>876300</xdr:colOff>
      <xdr:row>44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4730CA-1888-4987-BA02-22A494FC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47625</xdr:colOff>
      <xdr:row>44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D27BB8-6FDA-4571-A315-E57A451BF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66B39-7976-4220-AE94-6808E67393DD}" name="Table1" displayName="Table1" ref="D1:J4" totalsRowShown="0" headerRowDxfId="18" dataDxfId="17">
  <autoFilter ref="D1:J4" xr:uid="{79A66B39-7976-4220-AE94-6808E67393DD}"/>
  <tableColumns count="7">
    <tableColumn id="1" xr3:uid="{954CA496-D9F5-49C7-83C1-17DEE9349DE7}" name="Crop" dataDxfId="16"/>
    <tableColumn id="2" xr3:uid="{D19689F2-D281-4019-98B1-D2BA27349CB9}" name="Area_Acres" dataDxfId="15">
      <calculatedColumnFormula>SUMIFS(Crop_Cultivation!$C:$C,Crop_Cultivation!$B:$B,D2,Crop_Cultivation!$F:$F,"Actual")</calculatedColumnFormula>
    </tableColumn>
    <tableColumn id="3" xr3:uid="{B41E06D7-BFEB-4EAA-A547-CFF888067722}" name="Total_Cost" dataDxfId="14">
      <calculatedColumnFormula>SUMIFS(Expenses!$G:$G,Expenses!$I:$I,D2,Expenses!$H:$H,"Approximate")</calculatedColumnFormula>
    </tableColumn>
    <tableColumn id="4" xr3:uid="{EFFD11B5-BD5C-4573-8AA5-59CF915B7CE9}" name="Production_Kg" dataDxfId="13">
      <calculatedColumnFormula>SUMIFS(Harvest!$E:$E,Harvest!$C:$C,D2,Harvest!$F:$F,"Approximate")</calculatedColumnFormula>
    </tableColumn>
    <tableColumn id="5" xr3:uid="{20500438-3FEF-4317-835B-5C46B77425E4}" name="Revenue" dataDxfId="12">
      <calculatedColumnFormula>SUMIFS(Sales!$F:$F,Sales!$C:$C,D2,Sales!$G:$G,"Approximate")</calculatedColumnFormula>
    </tableColumn>
    <tableColumn id="6" xr3:uid="{629F1296-063A-4D33-AF6E-D8272A9B6790}" name="Profit" dataDxfId="11">
      <calculatedColumnFormula>H2-F2</calculatedColumnFormula>
    </tableColumn>
    <tableColumn id="7" xr3:uid="{C8A827CA-BDDE-4892-ACF9-1606C444E9C6}" name="ROI_%" dataDxfId="10">
      <calculatedColumnFormula>IFERROR(I2/F2,0)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4C7F2-DD77-48F1-8B60-B41F83C96061}" name="Table2" displayName="Table2" ref="D6:K9" totalsRowShown="0" headerRowDxfId="9" dataDxfId="8">
  <autoFilter ref="D6:K9" xr:uid="{F1B4C7F2-DD77-48F1-8B60-B41F83C96061}"/>
  <tableColumns count="8">
    <tableColumn id="1" xr3:uid="{BD94D6F7-7E43-4234-A55C-79A09A16D353}" name="Month" dataDxfId="7"/>
    <tableColumn id="2" xr3:uid="{958AEE2A-BC60-4498-AAC8-0BA98C845184}" name="Status" dataDxfId="6"/>
    <tableColumn id="3" xr3:uid="{4DE31514-B659-473B-9596-99DF8D8CFA67}" name="Area_Acres" dataDxfId="5">
      <calculatedColumnFormula>SUMIFS(Crop_Cultivation!$C:$C,Crop_Cultivation!$D:$D,D7,Crop_Cultivation!$F:$F,E7)</calculatedColumnFormula>
    </tableColumn>
    <tableColumn id="4" xr3:uid="{004FCFA3-76D9-4B09-B3DA-E9C248B56E98}" name="Total_Cost" dataDxfId="4">
      <calculatedColumnFormula>SUMIFS(Expenses!$G:$G,Expenses!$J:$J,D7,Expenses!$K:$K,E7)</calculatedColumnFormula>
    </tableColumn>
    <tableColumn id="5" xr3:uid="{A70C4B3B-5297-4DB8-98BC-D7AFB2339DFD}" name="Production_Kg" dataDxfId="3">
      <calculatedColumnFormula>SUMIFS(Harvest!$E:$E,Harvest!$G:$G,D7,Harvest!$H:$H,E7)</calculatedColumnFormula>
    </tableColumn>
    <tableColumn id="6" xr3:uid="{239EEE5A-93EB-4A72-B955-E08F5221A63C}" name="Revenue" dataDxfId="2">
      <calculatedColumnFormula>SUMIFS(Sales!$F:$F,Sales!$H:$H,D7,Sales!$I:$I,E7)</calculatedColumnFormula>
    </tableColumn>
    <tableColumn id="7" xr3:uid="{340C2A46-B235-4188-9049-30922F934E03}" name="Profit" dataDxfId="1">
      <calculatedColumnFormula>IF(E7="Planned","",I7-G7)</calculatedColumnFormula>
    </tableColumn>
    <tableColumn id="8" xr3:uid="{4F1F0461-E76F-4904-8A75-3A175D7E0011}" name="ROI_%" dataDxfId="0">
      <calculatedColumnFormula>IF(E7="Planned","",J7/G7)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1A83-A277-433E-A5CB-7AE232A40F6E}">
  <dimension ref="A1:F7"/>
  <sheetViews>
    <sheetView workbookViewId="0">
      <selection activeCell="G7" sqref="G7"/>
    </sheetView>
  </sheetViews>
  <sheetFormatPr defaultRowHeight="15" x14ac:dyDescent="0.25"/>
  <cols>
    <col min="1" max="1" width="14" bestFit="1" customWidth="1"/>
    <col min="2" max="2" width="12.28515625" bestFit="1" customWidth="1"/>
    <col min="3" max="3" width="10.85546875" style="5" bestFit="1" customWidth="1"/>
    <col min="4" max="4" width="15" bestFit="1" customWidth="1"/>
    <col min="5" max="5" width="5" bestFit="1" customWidth="1"/>
    <col min="6" max="6" width="16.85546875" bestFit="1" customWidth="1"/>
  </cols>
  <sheetData>
    <row r="1" spans="1:6" x14ac:dyDescent="0.25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7" t="s">
        <v>103</v>
      </c>
    </row>
    <row r="2" spans="1:6" x14ac:dyDescent="0.25">
      <c r="A2" s="4" t="s">
        <v>5</v>
      </c>
      <c r="B2" s="4" t="s">
        <v>6</v>
      </c>
      <c r="C2" s="1">
        <v>1</v>
      </c>
      <c r="D2" s="4" t="s">
        <v>7</v>
      </c>
      <c r="E2" s="4">
        <v>2026</v>
      </c>
      <c r="F2" s="4" t="s">
        <v>104</v>
      </c>
    </row>
    <row r="3" spans="1:6" x14ac:dyDescent="0.25">
      <c r="A3" s="4" t="s">
        <v>8</v>
      </c>
      <c r="B3" s="4" t="s">
        <v>9</v>
      </c>
      <c r="C3" s="1">
        <v>2</v>
      </c>
      <c r="D3" s="4" t="s">
        <v>7</v>
      </c>
      <c r="E3" s="4">
        <v>2026</v>
      </c>
      <c r="F3" s="4" t="s">
        <v>104</v>
      </c>
    </row>
    <row r="4" spans="1:6" x14ac:dyDescent="0.25">
      <c r="A4" s="4" t="s">
        <v>10</v>
      </c>
      <c r="B4" s="4" t="s">
        <v>11</v>
      </c>
      <c r="C4" s="1">
        <v>1</v>
      </c>
      <c r="D4" s="4" t="s">
        <v>12</v>
      </c>
      <c r="E4" s="4">
        <v>2026</v>
      </c>
      <c r="F4" s="4" t="s">
        <v>104</v>
      </c>
    </row>
    <row r="5" spans="1:6" x14ac:dyDescent="0.25">
      <c r="A5" s="4" t="s">
        <v>13</v>
      </c>
      <c r="B5" s="4" t="s">
        <v>6</v>
      </c>
      <c r="C5" s="1">
        <v>1</v>
      </c>
      <c r="D5" s="4" t="s">
        <v>14</v>
      </c>
      <c r="E5" s="4">
        <v>2026</v>
      </c>
      <c r="F5" s="4" t="s">
        <v>105</v>
      </c>
    </row>
    <row r="6" spans="1:6" x14ac:dyDescent="0.25">
      <c r="A6" s="4" t="s">
        <v>15</v>
      </c>
      <c r="B6" s="4" t="s">
        <v>11</v>
      </c>
      <c r="C6" s="1">
        <v>1</v>
      </c>
      <c r="D6" s="4" t="s">
        <v>14</v>
      </c>
      <c r="E6" s="4">
        <v>2026</v>
      </c>
      <c r="F6" s="4" t="s">
        <v>105</v>
      </c>
    </row>
    <row r="7" spans="1:6" x14ac:dyDescent="0.25">
      <c r="A7" s="4" t="s">
        <v>16</v>
      </c>
      <c r="B7" s="4" t="s">
        <v>9</v>
      </c>
      <c r="C7" s="1">
        <v>2</v>
      </c>
      <c r="D7" s="4" t="s">
        <v>14</v>
      </c>
      <c r="E7" s="4">
        <v>2026</v>
      </c>
      <c r="F7" s="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37EC-9289-406B-92DB-CEBECE342FA6}">
  <dimension ref="A1:K67"/>
  <sheetViews>
    <sheetView workbookViewId="0">
      <selection activeCell="L8" sqref="L8"/>
    </sheetView>
  </sheetViews>
  <sheetFormatPr defaultRowHeight="15" x14ac:dyDescent="0.25"/>
  <cols>
    <col min="1" max="1" width="12.5703125" style="6" customWidth="1"/>
    <col min="2" max="2" width="14.85546875" style="6" customWidth="1"/>
    <col min="3" max="3" width="12.42578125" style="6" customWidth="1"/>
    <col min="4" max="4" width="21.42578125" style="6" customWidth="1"/>
    <col min="5" max="5" width="16.85546875" style="6" bestFit="1" customWidth="1"/>
    <col min="6" max="6" width="7" style="6" customWidth="1"/>
    <col min="7" max="7" width="9.140625" style="6"/>
    <col min="8" max="8" width="15" style="6" customWidth="1"/>
    <col min="9" max="9" width="18.85546875" style="6" customWidth="1"/>
    <col min="10" max="10" width="15" style="6" bestFit="1" customWidth="1"/>
    <col min="11" max="11" width="17.85546875" style="6" bestFit="1" customWidth="1"/>
    <col min="12" max="16384" width="9.140625" style="6"/>
  </cols>
  <sheetData>
    <row r="1" spans="1:11" x14ac:dyDescent="0.25">
      <c r="A1" s="2" t="s">
        <v>17</v>
      </c>
      <c r="B1" s="2" t="s">
        <v>0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8" t="s">
        <v>1</v>
      </c>
      <c r="J1" s="8" t="s">
        <v>3</v>
      </c>
      <c r="K1" s="8" t="s">
        <v>103</v>
      </c>
    </row>
    <row r="2" spans="1:11" x14ac:dyDescent="0.25">
      <c r="A2" s="1" t="s">
        <v>24</v>
      </c>
      <c r="B2" s="1" t="s">
        <v>8</v>
      </c>
      <c r="C2" s="1" t="s">
        <v>25</v>
      </c>
      <c r="D2" s="1" t="s">
        <v>25</v>
      </c>
      <c r="E2" s="1">
        <v>4500</v>
      </c>
      <c r="F2" s="1">
        <v>2</v>
      </c>
      <c r="G2" s="1">
        <f>E2*F2</f>
        <v>9000</v>
      </c>
      <c r="H2" s="1" t="s">
        <v>26</v>
      </c>
      <c r="I2" s="6" t="str">
        <f>_xlfn.XLOOKUP(B2,Crop_Cultivation!A:A,Crop_Cultivation!B:B)</f>
        <v>Maize</v>
      </c>
      <c r="J2" s="6" t="str">
        <f>_xlfn.XLOOKUP(B2,Crop_Cultivation!A:A,Crop_Cultivation!D:D)</f>
        <v>January</v>
      </c>
      <c r="K2" s="6" t="str">
        <f>_xlfn.XLOOKUP(B2,Crop_Cultivation!A:A,Crop_Cultivation!F:F)</f>
        <v>Actual</v>
      </c>
    </row>
    <row r="3" spans="1:11" x14ac:dyDescent="0.25">
      <c r="A3" s="1" t="s">
        <v>27</v>
      </c>
      <c r="B3" s="1" t="s">
        <v>8</v>
      </c>
      <c r="C3" s="1" t="s">
        <v>28</v>
      </c>
      <c r="D3" s="1" t="s">
        <v>28</v>
      </c>
      <c r="E3" s="1">
        <v>1000</v>
      </c>
      <c r="F3" s="1">
        <v>2</v>
      </c>
      <c r="G3" s="1">
        <f t="shared" ref="G3:G66" si="0">E3*F3</f>
        <v>2000</v>
      </c>
      <c r="H3" s="1" t="s">
        <v>26</v>
      </c>
      <c r="I3" s="6" t="str">
        <f>_xlfn.XLOOKUP(B3,Crop_Cultivation!A:A,Crop_Cultivation!B:B)</f>
        <v>Maize</v>
      </c>
      <c r="J3" s="6" t="str">
        <f>_xlfn.XLOOKUP(B3,Crop_Cultivation!A:A,Crop_Cultivation!D:D)</f>
        <v>January</v>
      </c>
      <c r="K3" s="6" t="str">
        <f>_xlfn.XLOOKUP(B3,Crop_Cultivation!A:A,Crop_Cultivation!F:F)</f>
        <v>Actual</v>
      </c>
    </row>
    <row r="4" spans="1:11" x14ac:dyDescent="0.25">
      <c r="A4" s="1" t="s">
        <v>29</v>
      </c>
      <c r="B4" s="1" t="s">
        <v>8</v>
      </c>
      <c r="C4" s="1" t="s">
        <v>30</v>
      </c>
      <c r="D4" s="1" t="s">
        <v>31</v>
      </c>
      <c r="E4" s="1">
        <v>2000</v>
      </c>
      <c r="F4" s="1">
        <v>2</v>
      </c>
      <c r="G4" s="1">
        <f t="shared" si="0"/>
        <v>4000</v>
      </c>
      <c r="H4" s="1" t="s">
        <v>26</v>
      </c>
      <c r="I4" s="6" t="str">
        <f>_xlfn.XLOOKUP(B4,Crop_Cultivation!A:A,Crop_Cultivation!B:B)</f>
        <v>Maize</v>
      </c>
      <c r="J4" s="6" t="str">
        <f>_xlfn.XLOOKUP(B4,Crop_Cultivation!A:A,Crop_Cultivation!D:D)</f>
        <v>January</v>
      </c>
      <c r="K4" s="6" t="str">
        <f>_xlfn.XLOOKUP(B4,Crop_Cultivation!A:A,Crop_Cultivation!F:F)</f>
        <v>Actual</v>
      </c>
    </row>
    <row r="5" spans="1:11" x14ac:dyDescent="0.25">
      <c r="A5" s="1" t="s">
        <v>32</v>
      </c>
      <c r="B5" s="1" t="s">
        <v>8</v>
      </c>
      <c r="C5" s="1" t="s">
        <v>30</v>
      </c>
      <c r="D5" s="1" t="s">
        <v>33</v>
      </c>
      <c r="E5" s="1">
        <v>2000</v>
      </c>
      <c r="F5" s="1">
        <v>2</v>
      </c>
      <c r="G5" s="1">
        <f t="shared" si="0"/>
        <v>4000</v>
      </c>
      <c r="H5" s="1" t="s">
        <v>26</v>
      </c>
      <c r="I5" s="6" t="str">
        <f>_xlfn.XLOOKUP(B5,Crop_Cultivation!A:A,Crop_Cultivation!B:B)</f>
        <v>Maize</v>
      </c>
      <c r="J5" s="6" t="str">
        <f>_xlfn.XLOOKUP(B5,Crop_Cultivation!A:A,Crop_Cultivation!D:D)</f>
        <v>January</v>
      </c>
      <c r="K5" s="6" t="str">
        <f>_xlfn.XLOOKUP(B5,Crop_Cultivation!A:A,Crop_Cultivation!F:F)</f>
        <v>Actual</v>
      </c>
    </row>
    <row r="6" spans="1:11" x14ac:dyDescent="0.25">
      <c r="A6" s="1" t="s">
        <v>34</v>
      </c>
      <c r="B6" s="1" t="s">
        <v>8</v>
      </c>
      <c r="C6" s="1" t="s">
        <v>30</v>
      </c>
      <c r="D6" s="1" t="s">
        <v>35</v>
      </c>
      <c r="E6" s="1">
        <v>1000</v>
      </c>
      <c r="F6" s="1">
        <v>2</v>
      </c>
      <c r="G6" s="1">
        <f t="shared" si="0"/>
        <v>2000</v>
      </c>
      <c r="H6" s="1" t="s">
        <v>26</v>
      </c>
      <c r="I6" s="6" t="str">
        <f>_xlfn.XLOOKUP(B6,Crop_Cultivation!A:A,Crop_Cultivation!B:B)</f>
        <v>Maize</v>
      </c>
      <c r="J6" s="6" t="str">
        <f>_xlfn.XLOOKUP(B6,Crop_Cultivation!A:A,Crop_Cultivation!D:D)</f>
        <v>January</v>
      </c>
      <c r="K6" s="6" t="str">
        <f>_xlfn.XLOOKUP(B6,Crop_Cultivation!A:A,Crop_Cultivation!F:F)</f>
        <v>Actual</v>
      </c>
    </row>
    <row r="7" spans="1:11" x14ac:dyDescent="0.25">
      <c r="A7" s="1" t="s">
        <v>36</v>
      </c>
      <c r="B7" s="1" t="s">
        <v>8</v>
      </c>
      <c r="C7" s="1" t="s">
        <v>30</v>
      </c>
      <c r="D7" s="1" t="s">
        <v>37</v>
      </c>
      <c r="E7" s="1">
        <v>3000</v>
      </c>
      <c r="F7" s="1">
        <v>2</v>
      </c>
      <c r="G7" s="1">
        <f t="shared" si="0"/>
        <v>6000</v>
      </c>
      <c r="H7" s="1" t="s">
        <v>26</v>
      </c>
      <c r="I7" s="6" t="str">
        <f>_xlfn.XLOOKUP(B7,Crop_Cultivation!A:A,Crop_Cultivation!B:B)</f>
        <v>Maize</v>
      </c>
      <c r="J7" s="6" t="str">
        <f>_xlfn.XLOOKUP(B7,Crop_Cultivation!A:A,Crop_Cultivation!D:D)</f>
        <v>January</v>
      </c>
      <c r="K7" s="6" t="str">
        <f>_xlfn.XLOOKUP(B7,Crop_Cultivation!A:A,Crop_Cultivation!F:F)</f>
        <v>Actual</v>
      </c>
    </row>
    <row r="8" spans="1:11" x14ac:dyDescent="0.25">
      <c r="A8" s="1" t="s">
        <v>38</v>
      </c>
      <c r="B8" s="1" t="s">
        <v>8</v>
      </c>
      <c r="C8" s="1" t="s">
        <v>30</v>
      </c>
      <c r="D8" s="1" t="s">
        <v>39</v>
      </c>
      <c r="E8" s="1">
        <v>4000</v>
      </c>
      <c r="F8" s="1">
        <v>2</v>
      </c>
      <c r="G8" s="1">
        <f t="shared" si="0"/>
        <v>8000</v>
      </c>
      <c r="H8" s="1" t="s">
        <v>26</v>
      </c>
      <c r="I8" s="6" t="str">
        <f>_xlfn.XLOOKUP(B8,Crop_Cultivation!A:A,Crop_Cultivation!B:B)</f>
        <v>Maize</v>
      </c>
      <c r="J8" s="6" t="str">
        <f>_xlfn.XLOOKUP(B8,Crop_Cultivation!A:A,Crop_Cultivation!D:D)</f>
        <v>January</v>
      </c>
      <c r="K8" s="6" t="str">
        <f>_xlfn.XLOOKUP(B8,Crop_Cultivation!A:A,Crop_Cultivation!F:F)</f>
        <v>Actual</v>
      </c>
    </row>
    <row r="9" spans="1:11" x14ac:dyDescent="0.25">
      <c r="A9" s="1" t="s">
        <v>40</v>
      </c>
      <c r="B9" s="1" t="s">
        <v>8</v>
      </c>
      <c r="C9" s="1" t="s">
        <v>30</v>
      </c>
      <c r="D9" s="1" t="s">
        <v>41</v>
      </c>
      <c r="E9" s="1">
        <v>2000</v>
      </c>
      <c r="F9" s="1">
        <v>2</v>
      </c>
      <c r="G9" s="1">
        <f t="shared" si="0"/>
        <v>4000</v>
      </c>
      <c r="H9" s="1" t="s">
        <v>26</v>
      </c>
      <c r="I9" s="6" t="str">
        <f>_xlfn.XLOOKUP(B9,Crop_Cultivation!A:A,Crop_Cultivation!B:B)</f>
        <v>Maize</v>
      </c>
      <c r="J9" s="6" t="str">
        <f>_xlfn.XLOOKUP(B9,Crop_Cultivation!A:A,Crop_Cultivation!D:D)</f>
        <v>January</v>
      </c>
      <c r="K9" s="6" t="str">
        <f>_xlfn.XLOOKUP(B9,Crop_Cultivation!A:A,Crop_Cultivation!F:F)</f>
        <v>Actual</v>
      </c>
    </row>
    <row r="10" spans="1:11" x14ac:dyDescent="0.25">
      <c r="A10" s="1" t="s">
        <v>42</v>
      </c>
      <c r="B10" s="1" t="s">
        <v>8</v>
      </c>
      <c r="C10" s="1" t="s">
        <v>43</v>
      </c>
      <c r="D10" s="1" t="s">
        <v>43</v>
      </c>
      <c r="E10" s="1">
        <v>5000</v>
      </c>
      <c r="F10" s="1">
        <v>2</v>
      </c>
      <c r="G10" s="1">
        <f t="shared" si="0"/>
        <v>10000</v>
      </c>
      <c r="H10" s="1" t="s">
        <v>26</v>
      </c>
      <c r="I10" s="6" t="str">
        <f>_xlfn.XLOOKUP(B10,Crop_Cultivation!A:A,Crop_Cultivation!B:B)</f>
        <v>Maize</v>
      </c>
      <c r="J10" s="6" t="str">
        <f>_xlfn.XLOOKUP(B10,Crop_Cultivation!A:A,Crop_Cultivation!D:D)</f>
        <v>January</v>
      </c>
      <c r="K10" s="6" t="str">
        <f>_xlfn.XLOOKUP(B10,Crop_Cultivation!A:A,Crop_Cultivation!F:F)</f>
        <v>Actual</v>
      </c>
    </row>
    <row r="11" spans="1:11" x14ac:dyDescent="0.25">
      <c r="A11" s="1" t="s">
        <v>44</v>
      </c>
      <c r="B11" s="1" t="s">
        <v>8</v>
      </c>
      <c r="C11" s="1" t="s">
        <v>45</v>
      </c>
      <c r="D11" s="1" t="s">
        <v>45</v>
      </c>
      <c r="E11" s="1">
        <v>2100</v>
      </c>
      <c r="F11" s="1">
        <v>2</v>
      </c>
      <c r="G11" s="1">
        <f t="shared" si="0"/>
        <v>4200</v>
      </c>
      <c r="H11" s="1" t="s">
        <v>26</v>
      </c>
      <c r="I11" s="6" t="str">
        <f>_xlfn.XLOOKUP(B11,Crop_Cultivation!A:A,Crop_Cultivation!B:B)</f>
        <v>Maize</v>
      </c>
      <c r="J11" s="6" t="str">
        <f>_xlfn.XLOOKUP(B11,Crop_Cultivation!A:A,Crop_Cultivation!D:D)</f>
        <v>January</v>
      </c>
      <c r="K11" s="6" t="str">
        <f>_xlfn.XLOOKUP(B11,Crop_Cultivation!A:A,Crop_Cultivation!F:F)</f>
        <v>Actual</v>
      </c>
    </row>
    <row r="12" spans="1:11" ht="30" x14ac:dyDescent="0.25">
      <c r="A12" s="1" t="s">
        <v>65</v>
      </c>
      <c r="B12" s="1" t="s">
        <v>5</v>
      </c>
      <c r="C12" s="1" t="s">
        <v>25</v>
      </c>
      <c r="D12" s="1" t="s">
        <v>66</v>
      </c>
      <c r="E12" s="1">
        <v>1000</v>
      </c>
      <c r="F12" s="1">
        <v>1</v>
      </c>
      <c r="G12" s="1">
        <f t="shared" si="0"/>
        <v>1000</v>
      </c>
      <c r="H12" s="1" t="s">
        <v>26</v>
      </c>
      <c r="I12" s="6" t="str">
        <f>_xlfn.XLOOKUP(B12,Crop_Cultivation!A:A,Crop_Cultivation!B:B)</f>
        <v>Lady's Finger</v>
      </c>
      <c r="J12" s="6" t="str">
        <f>_xlfn.XLOOKUP(B12,Crop_Cultivation!A:A,Crop_Cultivation!D:D)</f>
        <v>January</v>
      </c>
      <c r="K12" s="6" t="str">
        <f>_xlfn.XLOOKUP(B12,Crop_Cultivation!A:A,Crop_Cultivation!F:F)</f>
        <v>Actual</v>
      </c>
    </row>
    <row r="13" spans="1:11" ht="30" x14ac:dyDescent="0.25">
      <c r="A13" s="1" t="s">
        <v>67</v>
      </c>
      <c r="B13" s="1" t="s">
        <v>5</v>
      </c>
      <c r="C13" s="1" t="s">
        <v>25</v>
      </c>
      <c r="D13" s="1" t="s">
        <v>68</v>
      </c>
      <c r="E13" s="1">
        <v>3000</v>
      </c>
      <c r="F13" s="1">
        <v>1</v>
      </c>
      <c r="G13" s="1">
        <f t="shared" si="0"/>
        <v>3000</v>
      </c>
      <c r="H13" s="1" t="s">
        <v>26</v>
      </c>
      <c r="I13" s="6" t="str">
        <f>_xlfn.XLOOKUP(B13,Crop_Cultivation!A:A,Crop_Cultivation!B:B)</f>
        <v>Lady's Finger</v>
      </c>
      <c r="J13" s="6" t="str">
        <f>_xlfn.XLOOKUP(B13,Crop_Cultivation!A:A,Crop_Cultivation!D:D)</f>
        <v>January</v>
      </c>
      <c r="K13" s="6" t="str">
        <f>_xlfn.XLOOKUP(B13,Crop_Cultivation!A:A,Crop_Cultivation!F:F)</f>
        <v>Actual</v>
      </c>
    </row>
    <row r="14" spans="1:11" x14ac:dyDescent="0.25">
      <c r="A14" s="1" t="s">
        <v>69</v>
      </c>
      <c r="B14" s="1" t="s">
        <v>5</v>
      </c>
      <c r="C14" s="1" t="s">
        <v>28</v>
      </c>
      <c r="D14" s="1" t="s">
        <v>70</v>
      </c>
      <c r="E14" s="1">
        <v>1000</v>
      </c>
      <c r="F14" s="1">
        <v>1</v>
      </c>
      <c r="G14" s="1">
        <f t="shared" si="0"/>
        <v>1000</v>
      </c>
      <c r="H14" s="1" t="s">
        <v>26</v>
      </c>
      <c r="I14" s="6" t="str">
        <f>_xlfn.XLOOKUP(B14,Crop_Cultivation!A:A,Crop_Cultivation!B:B)</f>
        <v>Lady's Finger</v>
      </c>
      <c r="J14" s="6" t="str">
        <f>_xlfn.XLOOKUP(B14,Crop_Cultivation!A:A,Crop_Cultivation!D:D)</f>
        <v>January</v>
      </c>
      <c r="K14" s="6" t="str">
        <f>_xlfn.XLOOKUP(B14,Crop_Cultivation!A:A,Crop_Cultivation!F:F)</f>
        <v>Actual</v>
      </c>
    </row>
    <row r="15" spans="1:11" x14ac:dyDescent="0.25">
      <c r="A15" s="1" t="s">
        <v>71</v>
      </c>
      <c r="B15" s="1" t="s">
        <v>5</v>
      </c>
      <c r="C15" s="1" t="s">
        <v>28</v>
      </c>
      <c r="D15" s="1" t="s">
        <v>72</v>
      </c>
      <c r="E15" s="1">
        <v>1000</v>
      </c>
      <c r="F15" s="1">
        <v>1</v>
      </c>
      <c r="G15" s="1">
        <f t="shared" si="0"/>
        <v>1000</v>
      </c>
      <c r="H15" s="1" t="s">
        <v>26</v>
      </c>
      <c r="I15" s="6" t="str">
        <f>_xlfn.XLOOKUP(B15,Crop_Cultivation!A:A,Crop_Cultivation!B:B)</f>
        <v>Lady's Finger</v>
      </c>
      <c r="J15" s="6" t="str">
        <f>_xlfn.XLOOKUP(B15,Crop_Cultivation!A:A,Crop_Cultivation!D:D)</f>
        <v>January</v>
      </c>
      <c r="K15" s="6" t="str">
        <f>_xlfn.XLOOKUP(B15,Crop_Cultivation!A:A,Crop_Cultivation!F:F)</f>
        <v>Actual</v>
      </c>
    </row>
    <row r="16" spans="1:11" x14ac:dyDescent="0.25">
      <c r="A16" s="1" t="s">
        <v>73</v>
      </c>
      <c r="B16" s="1" t="s">
        <v>5</v>
      </c>
      <c r="C16" s="1" t="s">
        <v>28</v>
      </c>
      <c r="D16" s="1" t="s">
        <v>74</v>
      </c>
      <c r="E16" s="1">
        <v>1000</v>
      </c>
      <c r="F16" s="1">
        <v>1</v>
      </c>
      <c r="G16" s="1">
        <f t="shared" si="0"/>
        <v>1000</v>
      </c>
      <c r="H16" s="1" t="s">
        <v>26</v>
      </c>
      <c r="I16" s="6" t="str">
        <f>_xlfn.XLOOKUP(B16,Crop_Cultivation!A:A,Crop_Cultivation!B:B)</f>
        <v>Lady's Finger</v>
      </c>
      <c r="J16" s="6" t="str">
        <f>_xlfn.XLOOKUP(B16,Crop_Cultivation!A:A,Crop_Cultivation!D:D)</f>
        <v>January</v>
      </c>
      <c r="K16" s="6" t="str">
        <f>_xlfn.XLOOKUP(B16,Crop_Cultivation!A:A,Crop_Cultivation!F:F)</f>
        <v>Actual</v>
      </c>
    </row>
    <row r="17" spans="1:11" x14ac:dyDescent="0.25">
      <c r="A17" s="1" t="s">
        <v>75</v>
      </c>
      <c r="B17" s="1" t="s">
        <v>5</v>
      </c>
      <c r="C17" s="1" t="s">
        <v>28</v>
      </c>
      <c r="D17" s="1" t="s">
        <v>76</v>
      </c>
      <c r="E17" s="1">
        <v>1000</v>
      </c>
      <c r="F17" s="1">
        <v>1</v>
      </c>
      <c r="G17" s="1">
        <f t="shared" si="0"/>
        <v>1000</v>
      </c>
      <c r="H17" s="1" t="s">
        <v>26</v>
      </c>
      <c r="I17" s="6" t="str">
        <f>_xlfn.XLOOKUP(B17,Crop_Cultivation!A:A,Crop_Cultivation!B:B)</f>
        <v>Lady's Finger</v>
      </c>
      <c r="J17" s="6" t="str">
        <f>_xlfn.XLOOKUP(B17,Crop_Cultivation!A:A,Crop_Cultivation!D:D)</f>
        <v>January</v>
      </c>
      <c r="K17" s="6" t="str">
        <f>_xlfn.XLOOKUP(B17,Crop_Cultivation!A:A,Crop_Cultivation!F:F)</f>
        <v>Actual</v>
      </c>
    </row>
    <row r="18" spans="1:11" x14ac:dyDescent="0.25">
      <c r="A18" s="1" t="s">
        <v>77</v>
      </c>
      <c r="B18" s="1" t="s">
        <v>5</v>
      </c>
      <c r="C18" s="1" t="s">
        <v>28</v>
      </c>
      <c r="D18" s="1" t="s">
        <v>78</v>
      </c>
      <c r="E18" s="1">
        <v>1000</v>
      </c>
      <c r="F18" s="1">
        <v>1</v>
      </c>
      <c r="G18" s="1">
        <f t="shared" si="0"/>
        <v>1000</v>
      </c>
      <c r="H18" s="1" t="s">
        <v>26</v>
      </c>
      <c r="I18" s="6" t="str">
        <f>_xlfn.XLOOKUP(B18,Crop_Cultivation!A:A,Crop_Cultivation!B:B)</f>
        <v>Lady's Finger</v>
      </c>
      <c r="J18" s="6" t="str">
        <f>_xlfn.XLOOKUP(B18,Crop_Cultivation!A:A,Crop_Cultivation!D:D)</f>
        <v>January</v>
      </c>
      <c r="K18" s="6" t="str">
        <f>_xlfn.XLOOKUP(B18,Crop_Cultivation!A:A,Crop_Cultivation!F:F)</f>
        <v>Actual</v>
      </c>
    </row>
    <row r="19" spans="1:11" x14ac:dyDescent="0.25">
      <c r="A19" s="1" t="s">
        <v>79</v>
      </c>
      <c r="B19" s="1" t="s">
        <v>5</v>
      </c>
      <c r="C19" s="1" t="s">
        <v>30</v>
      </c>
      <c r="D19" s="1" t="s">
        <v>31</v>
      </c>
      <c r="E19" s="1">
        <v>3000</v>
      </c>
      <c r="F19" s="1">
        <v>1</v>
      </c>
      <c r="G19" s="1">
        <f t="shared" si="0"/>
        <v>3000</v>
      </c>
      <c r="H19" s="1" t="s">
        <v>26</v>
      </c>
      <c r="I19" s="6" t="str">
        <f>_xlfn.XLOOKUP(B19,Crop_Cultivation!A:A,Crop_Cultivation!B:B)</f>
        <v>Lady's Finger</v>
      </c>
      <c r="J19" s="6" t="str">
        <f>_xlfn.XLOOKUP(B19,Crop_Cultivation!A:A,Crop_Cultivation!D:D)</f>
        <v>January</v>
      </c>
      <c r="K19" s="6" t="str">
        <f>_xlfn.XLOOKUP(B19,Crop_Cultivation!A:A,Crop_Cultivation!F:F)</f>
        <v>Actual</v>
      </c>
    </row>
    <row r="20" spans="1:11" x14ac:dyDescent="0.25">
      <c r="A20" s="1" t="s">
        <v>80</v>
      </c>
      <c r="B20" s="1" t="s">
        <v>5</v>
      </c>
      <c r="C20" s="1" t="s">
        <v>30</v>
      </c>
      <c r="D20" s="1" t="s">
        <v>33</v>
      </c>
      <c r="E20" s="1">
        <v>2000</v>
      </c>
      <c r="F20" s="1">
        <v>1</v>
      </c>
      <c r="G20" s="1">
        <f t="shared" si="0"/>
        <v>2000</v>
      </c>
      <c r="H20" s="1" t="s">
        <v>26</v>
      </c>
      <c r="I20" s="6" t="str">
        <f>_xlfn.XLOOKUP(B20,Crop_Cultivation!A:A,Crop_Cultivation!B:B)</f>
        <v>Lady's Finger</v>
      </c>
      <c r="J20" s="6" t="str">
        <f>_xlfn.XLOOKUP(B20,Crop_Cultivation!A:A,Crop_Cultivation!D:D)</f>
        <v>January</v>
      </c>
      <c r="K20" s="6" t="str">
        <f>_xlfn.XLOOKUP(B20,Crop_Cultivation!A:A,Crop_Cultivation!F:F)</f>
        <v>Actual</v>
      </c>
    </row>
    <row r="21" spans="1:11" x14ac:dyDescent="0.25">
      <c r="A21" s="1" t="s">
        <v>81</v>
      </c>
      <c r="B21" s="1" t="s">
        <v>5</v>
      </c>
      <c r="C21" s="1" t="s">
        <v>30</v>
      </c>
      <c r="D21" s="1" t="s">
        <v>35</v>
      </c>
      <c r="E21" s="1">
        <v>1500</v>
      </c>
      <c r="F21" s="1">
        <v>1</v>
      </c>
      <c r="G21" s="1">
        <f t="shared" si="0"/>
        <v>1500</v>
      </c>
      <c r="H21" s="1" t="s">
        <v>26</v>
      </c>
      <c r="I21" s="6" t="str">
        <f>_xlfn.XLOOKUP(B21,Crop_Cultivation!A:A,Crop_Cultivation!B:B)</f>
        <v>Lady's Finger</v>
      </c>
      <c r="J21" s="6" t="str">
        <f>_xlfn.XLOOKUP(B21,Crop_Cultivation!A:A,Crop_Cultivation!D:D)</f>
        <v>January</v>
      </c>
      <c r="K21" s="6" t="str">
        <f>_xlfn.XLOOKUP(B21,Crop_Cultivation!A:A,Crop_Cultivation!F:F)</f>
        <v>Actual</v>
      </c>
    </row>
    <row r="22" spans="1:11" x14ac:dyDescent="0.25">
      <c r="A22" s="1" t="s">
        <v>82</v>
      </c>
      <c r="B22" s="1" t="s">
        <v>5</v>
      </c>
      <c r="C22" s="1" t="s">
        <v>30</v>
      </c>
      <c r="D22" s="1" t="s">
        <v>37</v>
      </c>
      <c r="E22" s="1">
        <v>4000</v>
      </c>
      <c r="F22" s="1">
        <v>1</v>
      </c>
      <c r="G22" s="1">
        <f t="shared" si="0"/>
        <v>4000</v>
      </c>
      <c r="H22" s="1" t="s">
        <v>26</v>
      </c>
      <c r="I22" s="6" t="str">
        <f>_xlfn.XLOOKUP(B22,Crop_Cultivation!A:A,Crop_Cultivation!B:B)</f>
        <v>Lady's Finger</v>
      </c>
      <c r="J22" s="6" t="str">
        <f>_xlfn.XLOOKUP(B22,Crop_Cultivation!A:A,Crop_Cultivation!D:D)</f>
        <v>January</v>
      </c>
      <c r="K22" s="6" t="str">
        <f>_xlfn.XLOOKUP(B22,Crop_Cultivation!A:A,Crop_Cultivation!F:F)</f>
        <v>Actual</v>
      </c>
    </row>
    <row r="23" spans="1:11" x14ac:dyDescent="0.25">
      <c r="A23" s="1" t="s">
        <v>83</v>
      </c>
      <c r="B23" s="1" t="s">
        <v>5</v>
      </c>
      <c r="C23" s="1" t="s">
        <v>43</v>
      </c>
      <c r="D23" s="1" t="s">
        <v>43</v>
      </c>
      <c r="E23" s="1">
        <v>14000</v>
      </c>
      <c r="F23" s="1">
        <v>1</v>
      </c>
      <c r="G23" s="1">
        <f t="shared" si="0"/>
        <v>14000</v>
      </c>
      <c r="H23" s="1" t="s">
        <v>26</v>
      </c>
      <c r="I23" s="6" t="str">
        <f>_xlfn.XLOOKUP(B23,Crop_Cultivation!A:A,Crop_Cultivation!B:B)</f>
        <v>Lady's Finger</v>
      </c>
      <c r="J23" s="6" t="str">
        <f>_xlfn.XLOOKUP(B23,Crop_Cultivation!A:A,Crop_Cultivation!D:D)</f>
        <v>January</v>
      </c>
      <c r="K23" s="6" t="str">
        <f>_xlfn.XLOOKUP(B23,Crop_Cultivation!A:A,Crop_Cultivation!F:F)</f>
        <v>Actual</v>
      </c>
    </row>
    <row r="24" spans="1:11" x14ac:dyDescent="0.25">
      <c r="A24" s="1" t="s">
        <v>84</v>
      </c>
      <c r="B24" s="1" t="s">
        <v>5</v>
      </c>
      <c r="C24" s="1" t="s">
        <v>45</v>
      </c>
      <c r="D24" s="1" t="s">
        <v>45</v>
      </c>
      <c r="E24" s="1">
        <v>12000</v>
      </c>
      <c r="F24" s="1">
        <v>1</v>
      </c>
      <c r="G24" s="1">
        <f t="shared" si="0"/>
        <v>12000</v>
      </c>
      <c r="H24" s="1" t="s">
        <v>26</v>
      </c>
      <c r="I24" s="6" t="str">
        <f>_xlfn.XLOOKUP(B24,Crop_Cultivation!A:A,Crop_Cultivation!B:B)</f>
        <v>Lady's Finger</v>
      </c>
      <c r="J24" s="6" t="str">
        <f>_xlfn.XLOOKUP(B24,Crop_Cultivation!A:A,Crop_Cultivation!D:D)</f>
        <v>January</v>
      </c>
      <c r="K24" s="6" t="str">
        <f>_xlfn.XLOOKUP(B24,Crop_Cultivation!A:A,Crop_Cultivation!F:F)</f>
        <v>Actual</v>
      </c>
    </row>
    <row r="25" spans="1:11" ht="30" x14ac:dyDescent="0.25">
      <c r="A25" s="1" t="s">
        <v>85</v>
      </c>
      <c r="B25" s="1" t="s">
        <v>10</v>
      </c>
      <c r="C25" s="1" t="s">
        <v>25</v>
      </c>
      <c r="D25" s="1" t="s">
        <v>66</v>
      </c>
      <c r="E25" s="1">
        <v>3000</v>
      </c>
      <c r="F25" s="1">
        <v>1</v>
      </c>
      <c r="G25" s="1">
        <f t="shared" si="0"/>
        <v>3000</v>
      </c>
      <c r="H25" s="1" t="s">
        <v>26</v>
      </c>
      <c r="I25" s="6" t="str">
        <f>_xlfn.XLOOKUP(B25,Crop_Cultivation!A:A,Crop_Cultivation!B:B)</f>
        <v>Cotton</v>
      </c>
      <c r="J25" s="6" t="str">
        <f>_xlfn.XLOOKUP(B25,Crop_Cultivation!A:A,Crop_Cultivation!D:D)</f>
        <v>February</v>
      </c>
      <c r="K25" s="6" t="str">
        <f>_xlfn.XLOOKUP(B25,Crop_Cultivation!A:A,Crop_Cultivation!F:F)</f>
        <v>Actual</v>
      </c>
    </row>
    <row r="26" spans="1:11" ht="30" x14ac:dyDescent="0.25">
      <c r="A26" s="1" t="s">
        <v>86</v>
      </c>
      <c r="B26" s="1" t="s">
        <v>10</v>
      </c>
      <c r="C26" s="1" t="s">
        <v>25</v>
      </c>
      <c r="D26" s="1" t="s">
        <v>68</v>
      </c>
      <c r="E26" s="1">
        <v>5000</v>
      </c>
      <c r="F26" s="1">
        <v>1</v>
      </c>
      <c r="G26" s="1">
        <f t="shared" si="0"/>
        <v>5000</v>
      </c>
      <c r="H26" s="1" t="s">
        <v>26</v>
      </c>
      <c r="I26" s="6" t="str">
        <f>_xlfn.XLOOKUP(B26,Crop_Cultivation!A:A,Crop_Cultivation!B:B)</f>
        <v>Cotton</v>
      </c>
      <c r="J26" s="6" t="str">
        <f>_xlfn.XLOOKUP(B26,Crop_Cultivation!A:A,Crop_Cultivation!D:D)</f>
        <v>February</v>
      </c>
      <c r="K26" s="6" t="str">
        <f>_xlfn.XLOOKUP(B26,Crop_Cultivation!A:A,Crop_Cultivation!F:F)</f>
        <v>Actual</v>
      </c>
    </row>
    <row r="27" spans="1:11" ht="30" x14ac:dyDescent="0.25">
      <c r="A27" s="1" t="s">
        <v>87</v>
      </c>
      <c r="B27" s="1" t="s">
        <v>10</v>
      </c>
      <c r="C27" s="1" t="s">
        <v>28</v>
      </c>
      <c r="D27" s="1" t="s">
        <v>88</v>
      </c>
      <c r="E27" s="1">
        <v>1000</v>
      </c>
      <c r="F27" s="1">
        <v>1</v>
      </c>
      <c r="G27" s="1">
        <f t="shared" si="0"/>
        <v>1000</v>
      </c>
      <c r="H27" s="1" t="s">
        <v>26</v>
      </c>
      <c r="I27" s="6" t="str">
        <f>_xlfn.XLOOKUP(B27,Crop_Cultivation!A:A,Crop_Cultivation!B:B)</f>
        <v>Cotton</v>
      </c>
      <c r="J27" s="6" t="str">
        <f>_xlfn.XLOOKUP(B27,Crop_Cultivation!A:A,Crop_Cultivation!D:D)</f>
        <v>February</v>
      </c>
      <c r="K27" s="6" t="str">
        <f>_xlfn.XLOOKUP(B27,Crop_Cultivation!A:A,Crop_Cultivation!F:F)</f>
        <v>Actual</v>
      </c>
    </row>
    <row r="28" spans="1:11" ht="30" x14ac:dyDescent="0.25">
      <c r="A28" s="1" t="s">
        <v>89</v>
      </c>
      <c r="B28" s="1" t="s">
        <v>10</v>
      </c>
      <c r="C28" s="1" t="s">
        <v>28</v>
      </c>
      <c r="D28" s="1" t="s">
        <v>90</v>
      </c>
      <c r="E28" s="1">
        <v>1000</v>
      </c>
      <c r="F28" s="1">
        <v>1</v>
      </c>
      <c r="G28" s="1">
        <f t="shared" si="0"/>
        <v>1000</v>
      </c>
      <c r="H28" s="1" t="s">
        <v>26</v>
      </c>
      <c r="I28" s="6" t="str">
        <f>_xlfn.XLOOKUP(B28,Crop_Cultivation!A:A,Crop_Cultivation!B:B)</f>
        <v>Cotton</v>
      </c>
      <c r="J28" s="6" t="str">
        <f>_xlfn.XLOOKUP(B28,Crop_Cultivation!A:A,Crop_Cultivation!D:D)</f>
        <v>February</v>
      </c>
      <c r="K28" s="6" t="str">
        <f>_xlfn.XLOOKUP(B28,Crop_Cultivation!A:A,Crop_Cultivation!F:F)</f>
        <v>Actual</v>
      </c>
    </row>
    <row r="29" spans="1:11" ht="30" x14ac:dyDescent="0.25">
      <c r="A29" s="1" t="s">
        <v>91</v>
      </c>
      <c r="B29" s="1" t="s">
        <v>10</v>
      </c>
      <c r="C29" s="1" t="s">
        <v>28</v>
      </c>
      <c r="D29" s="1" t="s">
        <v>92</v>
      </c>
      <c r="E29" s="1">
        <v>1000</v>
      </c>
      <c r="F29" s="1">
        <v>1</v>
      </c>
      <c r="G29" s="1">
        <f t="shared" si="0"/>
        <v>1000</v>
      </c>
      <c r="H29" s="1" t="s">
        <v>26</v>
      </c>
      <c r="I29" s="6" t="str">
        <f>_xlfn.XLOOKUP(B29,Crop_Cultivation!A:A,Crop_Cultivation!B:B)</f>
        <v>Cotton</v>
      </c>
      <c r="J29" s="6" t="str">
        <f>_xlfn.XLOOKUP(B29,Crop_Cultivation!A:A,Crop_Cultivation!D:D)</f>
        <v>February</v>
      </c>
      <c r="K29" s="6" t="str">
        <f>_xlfn.XLOOKUP(B29,Crop_Cultivation!A:A,Crop_Cultivation!F:F)</f>
        <v>Actual</v>
      </c>
    </row>
    <row r="30" spans="1:11" ht="30" x14ac:dyDescent="0.25">
      <c r="A30" s="1" t="s">
        <v>93</v>
      </c>
      <c r="B30" s="1" t="s">
        <v>10</v>
      </c>
      <c r="C30" s="1" t="s">
        <v>28</v>
      </c>
      <c r="D30" s="1" t="s">
        <v>94</v>
      </c>
      <c r="E30" s="1">
        <v>1000</v>
      </c>
      <c r="F30" s="1">
        <v>1</v>
      </c>
      <c r="G30" s="1">
        <f t="shared" si="0"/>
        <v>1000</v>
      </c>
      <c r="H30" s="1" t="s">
        <v>26</v>
      </c>
      <c r="I30" s="6" t="str">
        <f>_xlfn.XLOOKUP(B30,Crop_Cultivation!A:A,Crop_Cultivation!B:B)</f>
        <v>Cotton</v>
      </c>
      <c r="J30" s="6" t="str">
        <f>_xlfn.XLOOKUP(B30,Crop_Cultivation!A:A,Crop_Cultivation!D:D)</f>
        <v>February</v>
      </c>
      <c r="K30" s="6" t="str">
        <f>_xlfn.XLOOKUP(B30,Crop_Cultivation!A:A,Crop_Cultivation!F:F)</f>
        <v>Actual</v>
      </c>
    </row>
    <row r="31" spans="1:11" x14ac:dyDescent="0.25">
      <c r="A31" s="1" t="s">
        <v>95</v>
      </c>
      <c r="B31" s="1" t="s">
        <v>10</v>
      </c>
      <c r="C31" s="1" t="s">
        <v>30</v>
      </c>
      <c r="D31" s="1" t="s">
        <v>96</v>
      </c>
      <c r="E31" s="1">
        <v>3000</v>
      </c>
      <c r="F31" s="1">
        <v>1</v>
      </c>
      <c r="G31" s="1">
        <f t="shared" si="0"/>
        <v>3000</v>
      </c>
      <c r="H31" s="1" t="s">
        <v>26</v>
      </c>
      <c r="I31" s="6" t="str">
        <f>_xlfn.XLOOKUP(B31,Crop_Cultivation!A:A,Crop_Cultivation!B:B)</f>
        <v>Cotton</v>
      </c>
      <c r="J31" s="6" t="str">
        <f>_xlfn.XLOOKUP(B31,Crop_Cultivation!A:A,Crop_Cultivation!D:D)</f>
        <v>February</v>
      </c>
      <c r="K31" s="6" t="str">
        <f>_xlfn.XLOOKUP(B31,Crop_Cultivation!A:A,Crop_Cultivation!F:F)</f>
        <v>Actual</v>
      </c>
    </row>
    <row r="32" spans="1:11" x14ac:dyDescent="0.25">
      <c r="A32" s="1" t="s">
        <v>97</v>
      </c>
      <c r="B32" s="1" t="s">
        <v>10</v>
      </c>
      <c r="C32" s="1" t="s">
        <v>30</v>
      </c>
      <c r="D32" s="1" t="s">
        <v>33</v>
      </c>
      <c r="E32" s="1">
        <v>2000</v>
      </c>
      <c r="F32" s="1">
        <v>1</v>
      </c>
      <c r="G32" s="1">
        <f t="shared" si="0"/>
        <v>2000</v>
      </c>
      <c r="H32" s="1" t="s">
        <v>26</v>
      </c>
      <c r="I32" s="6" t="str">
        <f>_xlfn.XLOOKUP(B32,Crop_Cultivation!A:A,Crop_Cultivation!B:B)</f>
        <v>Cotton</v>
      </c>
      <c r="J32" s="6" t="str">
        <f>_xlfn.XLOOKUP(B32,Crop_Cultivation!A:A,Crop_Cultivation!D:D)</f>
        <v>February</v>
      </c>
      <c r="K32" s="6" t="str">
        <f>_xlfn.XLOOKUP(B32,Crop_Cultivation!A:A,Crop_Cultivation!F:F)</f>
        <v>Actual</v>
      </c>
    </row>
    <row r="33" spans="1:11" x14ac:dyDescent="0.25">
      <c r="A33" s="1" t="s">
        <v>98</v>
      </c>
      <c r="B33" s="1" t="s">
        <v>10</v>
      </c>
      <c r="C33" s="1" t="s">
        <v>30</v>
      </c>
      <c r="D33" s="1" t="s">
        <v>35</v>
      </c>
      <c r="E33" s="1">
        <v>1000</v>
      </c>
      <c r="F33" s="1">
        <v>1</v>
      </c>
      <c r="G33" s="1">
        <f t="shared" si="0"/>
        <v>1000</v>
      </c>
      <c r="H33" s="1" t="s">
        <v>26</v>
      </c>
      <c r="I33" s="6" t="str">
        <f>_xlfn.XLOOKUP(B33,Crop_Cultivation!A:A,Crop_Cultivation!B:B)</f>
        <v>Cotton</v>
      </c>
      <c r="J33" s="6" t="str">
        <f>_xlfn.XLOOKUP(B33,Crop_Cultivation!A:A,Crop_Cultivation!D:D)</f>
        <v>February</v>
      </c>
      <c r="K33" s="6" t="str">
        <f>_xlfn.XLOOKUP(B33,Crop_Cultivation!A:A,Crop_Cultivation!F:F)</f>
        <v>Actual</v>
      </c>
    </row>
    <row r="34" spans="1:11" x14ac:dyDescent="0.25">
      <c r="A34" s="1" t="s">
        <v>99</v>
      </c>
      <c r="B34" s="1" t="s">
        <v>10</v>
      </c>
      <c r="C34" s="1" t="s">
        <v>30</v>
      </c>
      <c r="D34" s="1" t="s">
        <v>37</v>
      </c>
      <c r="E34" s="1">
        <v>3000</v>
      </c>
      <c r="F34" s="1">
        <v>1</v>
      </c>
      <c r="G34" s="1">
        <f t="shared" si="0"/>
        <v>3000</v>
      </c>
      <c r="H34" s="1" t="s">
        <v>26</v>
      </c>
      <c r="I34" s="6" t="str">
        <f>_xlfn.XLOOKUP(B34,Crop_Cultivation!A:A,Crop_Cultivation!B:B)</f>
        <v>Cotton</v>
      </c>
      <c r="J34" s="6" t="str">
        <f>_xlfn.XLOOKUP(B34,Crop_Cultivation!A:A,Crop_Cultivation!D:D)</f>
        <v>February</v>
      </c>
      <c r="K34" s="6" t="str">
        <f>_xlfn.XLOOKUP(B34,Crop_Cultivation!A:A,Crop_Cultivation!F:F)</f>
        <v>Actual</v>
      </c>
    </row>
    <row r="35" spans="1:11" x14ac:dyDescent="0.25">
      <c r="A35" s="1" t="s">
        <v>100</v>
      </c>
      <c r="B35" s="1" t="s">
        <v>10</v>
      </c>
      <c r="C35" s="1" t="s">
        <v>30</v>
      </c>
      <c r="D35" s="1" t="s">
        <v>39</v>
      </c>
      <c r="E35" s="1">
        <v>10000</v>
      </c>
      <c r="F35" s="1">
        <v>1</v>
      </c>
      <c r="G35" s="1">
        <f t="shared" si="0"/>
        <v>10000</v>
      </c>
      <c r="H35" s="1" t="s">
        <v>26</v>
      </c>
      <c r="I35" s="6" t="str">
        <f>_xlfn.XLOOKUP(B35,Crop_Cultivation!A:A,Crop_Cultivation!B:B)</f>
        <v>Cotton</v>
      </c>
      <c r="J35" s="6" t="str">
        <f>_xlfn.XLOOKUP(B35,Crop_Cultivation!A:A,Crop_Cultivation!D:D)</f>
        <v>February</v>
      </c>
      <c r="K35" s="6" t="str">
        <f>_xlfn.XLOOKUP(B35,Crop_Cultivation!A:A,Crop_Cultivation!F:F)</f>
        <v>Actual</v>
      </c>
    </row>
    <row r="36" spans="1:11" x14ac:dyDescent="0.25">
      <c r="A36" s="1" t="s">
        <v>101</v>
      </c>
      <c r="B36" s="1" t="s">
        <v>10</v>
      </c>
      <c r="C36" s="1" t="s">
        <v>43</v>
      </c>
      <c r="D36" s="1" t="s">
        <v>43</v>
      </c>
      <c r="E36" s="1">
        <v>7000</v>
      </c>
      <c r="F36" s="1">
        <v>1</v>
      </c>
      <c r="G36" s="1">
        <f t="shared" si="0"/>
        <v>7000</v>
      </c>
      <c r="H36" s="1" t="s">
        <v>26</v>
      </c>
      <c r="I36" s="6" t="str">
        <f>_xlfn.XLOOKUP(B36,Crop_Cultivation!A:A,Crop_Cultivation!B:B)</f>
        <v>Cotton</v>
      </c>
      <c r="J36" s="6" t="str">
        <f>_xlfn.XLOOKUP(B36,Crop_Cultivation!A:A,Crop_Cultivation!D:D)</f>
        <v>February</v>
      </c>
      <c r="K36" s="6" t="str">
        <f>_xlfn.XLOOKUP(B36,Crop_Cultivation!A:A,Crop_Cultivation!F:F)</f>
        <v>Actual</v>
      </c>
    </row>
    <row r="37" spans="1:11" x14ac:dyDescent="0.25">
      <c r="A37" s="1" t="s">
        <v>102</v>
      </c>
      <c r="B37" s="1" t="s">
        <v>10</v>
      </c>
      <c r="C37" s="1" t="s">
        <v>45</v>
      </c>
      <c r="D37" s="1" t="s">
        <v>45</v>
      </c>
      <c r="E37" s="1">
        <v>2000</v>
      </c>
      <c r="F37" s="1">
        <v>1</v>
      </c>
      <c r="G37" s="1">
        <f t="shared" si="0"/>
        <v>2000</v>
      </c>
      <c r="H37" s="1" t="s">
        <v>26</v>
      </c>
      <c r="I37" s="6" t="str">
        <f>_xlfn.XLOOKUP(B37,Crop_Cultivation!A:A,Crop_Cultivation!B:B)</f>
        <v>Cotton</v>
      </c>
      <c r="J37" s="6" t="str">
        <f>_xlfn.XLOOKUP(B37,Crop_Cultivation!A:A,Crop_Cultivation!D:D)</f>
        <v>February</v>
      </c>
      <c r="K37" s="6" t="str">
        <f>_xlfn.XLOOKUP(B37,Crop_Cultivation!A:A,Crop_Cultivation!F:F)</f>
        <v>Actual</v>
      </c>
    </row>
    <row r="38" spans="1:11" ht="30" x14ac:dyDescent="0.25">
      <c r="A38" s="1" t="s">
        <v>106</v>
      </c>
      <c r="B38" s="1" t="s">
        <v>13</v>
      </c>
      <c r="C38" s="1" t="s">
        <v>25</v>
      </c>
      <c r="D38" s="1" t="s">
        <v>25</v>
      </c>
      <c r="E38" s="1">
        <v>4000</v>
      </c>
      <c r="F38" s="1">
        <v>1</v>
      </c>
      <c r="G38" s="1">
        <f t="shared" si="0"/>
        <v>4000</v>
      </c>
      <c r="H38" s="1" t="s">
        <v>107</v>
      </c>
      <c r="I38" s="6" t="str">
        <f>_xlfn.XLOOKUP(B38,Crop_Cultivation!A:A,Crop_Cultivation!B:B)</f>
        <v>Lady's Finger</v>
      </c>
      <c r="J38" s="6" t="str">
        <f>_xlfn.XLOOKUP(B38,Crop_Cultivation!A:A,Crop_Cultivation!D:D)</f>
        <v>September</v>
      </c>
      <c r="K38" s="6" t="str">
        <f>_xlfn.XLOOKUP(B38,Crop_Cultivation!A:A,Crop_Cultivation!F:F)</f>
        <v>Planned</v>
      </c>
    </row>
    <row r="39" spans="1:11" ht="30" x14ac:dyDescent="0.25">
      <c r="A39" s="1" t="s">
        <v>108</v>
      </c>
      <c r="B39" s="1" t="s">
        <v>13</v>
      </c>
      <c r="C39" s="1" t="s">
        <v>28</v>
      </c>
      <c r="D39" s="1" t="s">
        <v>28</v>
      </c>
      <c r="E39" s="1">
        <v>5000</v>
      </c>
      <c r="F39" s="1">
        <v>1</v>
      </c>
      <c r="G39" s="1">
        <f t="shared" si="0"/>
        <v>5000</v>
      </c>
      <c r="H39" s="1" t="s">
        <v>107</v>
      </c>
      <c r="I39" s="6" t="str">
        <f>_xlfn.XLOOKUP(B39,Crop_Cultivation!A:A,Crop_Cultivation!B:B)</f>
        <v>Lady's Finger</v>
      </c>
      <c r="J39" s="6" t="str">
        <f>_xlfn.XLOOKUP(B39,Crop_Cultivation!A:A,Crop_Cultivation!D:D)</f>
        <v>September</v>
      </c>
      <c r="K39" s="6" t="str">
        <f>_xlfn.XLOOKUP(B39,Crop_Cultivation!A:A,Crop_Cultivation!F:F)</f>
        <v>Planned</v>
      </c>
    </row>
    <row r="40" spans="1:11" ht="30" x14ac:dyDescent="0.25">
      <c r="A40" s="1" t="s">
        <v>109</v>
      </c>
      <c r="B40" s="1" t="s">
        <v>13</v>
      </c>
      <c r="C40" s="1" t="s">
        <v>30</v>
      </c>
      <c r="D40" s="1" t="s">
        <v>31</v>
      </c>
      <c r="E40" s="1">
        <v>3000</v>
      </c>
      <c r="F40" s="1">
        <v>1</v>
      </c>
      <c r="G40" s="1">
        <f t="shared" si="0"/>
        <v>3000</v>
      </c>
      <c r="H40" s="1" t="s">
        <v>107</v>
      </c>
      <c r="I40" s="6" t="str">
        <f>_xlfn.XLOOKUP(B40,Crop_Cultivation!A:A,Crop_Cultivation!B:B)</f>
        <v>Lady's Finger</v>
      </c>
      <c r="J40" s="6" t="str">
        <f>_xlfn.XLOOKUP(B40,Crop_Cultivation!A:A,Crop_Cultivation!D:D)</f>
        <v>September</v>
      </c>
      <c r="K40" s="6" t="str">
        <f>_xlfn.XLOOKUP(B40,Crop_Cultivation!A:A,Crop_Cultivation!F:F)</f>
        <v>Planned</v>
      </c>
    </row>
    <row r="41" spans="1:11" ht="30" x14ac:dyDescent="0.25">
      <c r="A41" s="1" t="s">
        <v>110</v>
      </c>
      <c r="B41" s="1" t="s">
        <v>13</v>
      </c>
      <c r="C41" s="1" t="s">
        <v>30</v>
      </c>
      <c r="D41" s="1" t="s">
        <v>33</v>
      </c>
      <c r="E41" s="1">
        <v>2000</v>
      </c>
      <c r="F41" s="1">
        <v>1</v>
      </c>
      <c r="G41" s="1">
        <f t="shared" si="0"/>
        <v>2000</v>
      </c>
      <c r="H41" s="1" t="s">
        <v>107</v>
      </c>
      <c r="I41" s="6" t="str">
        <f>_xlfn.XLOOKUP(B41,Crop_Cultivation!A:A,Crop_Cultivation!B:B)</f>
        <v>Lady's Finger</v>
      </c>
      <c r="J41" s="6" t="str">
        <f>_xlfn.XLOOKUP(B41,Crop_Cultivation!A:A,Crop_Cultivation!D:D)</f>
        <v>September</v>
      </c>
      <c r="K41" s="6" t="str">
        <f>_xlfn.XLOOKUP(B41,Crop_Cultivation!A:A,Crop_Cultivation!F:F)</f>
        <v>Planned</v>
      </c>
    </row>
    <row r="42" spans="1:11" ht="30" x14ac:dyDescent="0.25">
      <c r="A42" s="1" t="s">
        <v>111</v>
      </c>
      <c r="B42" s="1" t="s">
        <v>13</v>
      </c>
      <c r="C42" s="1" t="s">
        <v>30</v>
      </c>
      <c r="D42" s="1" t="s">
        <v>35</v>
      </c>
      <c r="E42" s="1">
        <v>1500</v>
      </c>
      <c r="F42" s="1">
        <v>1</v>
      </c>
      <c r="G42" s="1">
        <f t="shared" si="0"/>
        <v>1500</v>
      </c>
      <c r="H42" s="1" t="s">
        <v>107</v>
      </c>
      <c r="I42" s="6" t="str">
        <f>_xlfn.XLOOKUP(B42,Crop_Cultivation!A:A,Crop_Cultivation!B:B)</f>
        <v>Lady's Finger</v>
      </c>
      <c r="J42" s="6" t="str">
        <f>_xlfn.XLOOKUP(B42,Crop_Cultivation!A:A,Crop_Cultivation!D:D)</f>
        <v>September</v>
      </c>
      <c r="K42" s="6" t="str">
        <f>_xlfn.XLOOKUP(B42,Crop_Cultivation!A:A,Crop_Cultivation!F:F)</f>
        <v>Planned</v>
      </c>
    </row>
    <row r="43" spans="1:11" ht="30" x14ac:dyDescent="0.25">
      <c r="A43" s="1" t="s">
        <v>112</v>
      </c>
      <c r="B43" s="1" t="s">
        <v>13</v>
      </c>
      <c r="C43" s="1" t="s">
        <v>30</v>
      </c>
      <c r="D43" s="1" t="s">
        <v>37</v>
      </c>
      <c r="E43" s="1">
        <v>4000</v>
      </c>
      <c r="F43" s="1">
        <v>1</v>
      </c>
      <c r="G43" s="1">
        <f t="shared" si="0"/>
        <v>4000</v>
      </c>
      <c r="H43" s="1" t="s">
        <v>107</v>
      </c>
      <c r="I43" s="6" t="str">
        <f>_xlfn.XLOOKUP(B43,Crop_Cultivation!A:A,Crop_Cultivation!B:B)</f>
        <v>Lady's Finger</v>
      </c>
      <c r="J43" s="6" t="str">
        <f>_xlfn.XLOOKUP(B43,Crop_Cultivation!A:A,Crop_Cultivation!D:D)</f>
        <v>September</v>
      </c>
      <c r="K43" s="6" t="str">
        <f>_xlfn.XLOOKUP(B43,Crop_Cultivation!A:A,Crop_Cultivation!F:F)</f>
        <v>Planned</v>
      </c>
    </row>
    <row r="44" spans="1:11" ht="30" x14ac:dyDescent="0.25">
      <c r="A44" s="1" t="s">
        <v>113</v>
      </c>
      <c r="B44" s="1" t="s">
        <v>13</v>
      </c>
      <c r="C44" s="1" t="s">
        <v>30</v>
      </c>
      <c r="D44" s="1" t="s">
        <v>39</v>
      </c>
      <c r="E44" s="12">
        <v>15000</v>
      </c>
      <c r="F44" s="1">
        <v>1</v>
      </c>
      <c r="G44" s="1">
        <f t="shared" si="0"/>
        <v>15000</v>
      </c>
      <c r="H44" s="1" t="s">
        <v>107</v>
      </c>
      <c r="I44" s="6" t="str">
        <f>_xlfn.XLOOKUP(B44,Crop_Cultivation!A:A,Crop_Cultivation!B:B)</f>
        <v>Lady's Finger</v>
      </c>
      <c r="J44" s="6" t="str">
        <f>_xlfn.XLOOKUP(B44,Crop_Cultivation!A:A,Crop_Cultivation!D:D)</f>
        <v>September</v>
      </c>
      <c r="K44" s="6" t="str">
        <f>_xlfn.XLOOKUP(B44,Crop_Cultivation!A:A,Crop_Cultivation!F:F)</f>
        <v>Planned</v>
      </c>
    </row>
    <row r="45" spans="1:11" ht="30" x14ac:dyDescent="0.25">
      <c r="A45" s="1" t="s">
        <v>114</v>
      </c>
      <c r="B45" s="1" t="s">
        <v>13</v>
      </c>
      <c r="C45" s="1" t="s">
        <v>43</v>
      </c>
      <c r="D45" s="1" t="s">
        <v>43</v>
      </c>
      <c r="E45" s="1">
        <v>14000</v>
      </c>
      <c r="F45" s="1">
        <v>1</v>
      </c>
      <c r="G45" s="1">
        <f t="shared" si="0"/>
        <v>14000</v>
      </c>
      <c r="H45" s="1" t="s">
        <v>107</v>
      </c>
      <c r="I45" s="6" t="str">
        <f>_xlfn.XLOOKUP(B45,Crop_Cultivation!A:A,Crop_Cultivation!B:B)</f>
        <v>Lady's Finger</v>
      </c>
      <c r="J45" s="6" t="str">
        <f>_xlfn.XLOOKUP(B45,Crop_Cultivation!A:A,Crop_Cultivation!D:D)</f>
        <v>September</v>
      </c>
      <c r="K45" s="6" t="str">
        <f>_xlfn.XLOOKUP(B45,Crop_Cultivation!A:A,Crop_Cultivation!F:F)</f>
        <v>Planned</v>
      </c>
    </row>
    <row r="46" spans="1:11" ht="30" x14ac:dyDescent="0.25">
      <c r="A46" s="1" t="s">
        <v>115</v>
      </c>
      <c r="B46" s="1" t="s">
        <v>13</v>
      </c>
      <c r="C46" s="1" t="s">
        <v>45</v>
      </c>
      <c r="D46" s="1" t="s">
        <v>45</v>
      </c>
      <c r="E46" s="1">
        <v>12000</v>
      </c>
      <c r="F46" s="1">
        <v>1</v>
      </c>
      <c r="G46" s="1">
        <f t="shared" si="0"/>
        <v>12000</v>
      </c>
      <c r="H46" s="1" t="s">
        <v>107</v>
      </c>
      <c r="I46" s="6" t="str">
        <f>_xlfn.XLOOKUP(B46,Crop_Cultivation!A:A,Crop_Cultivation!B:B)</f>
        <v>Lady's Finger</v>
      </c>
      <c r="J46" s="6" t="str">
        <f>_xlfn.XLOOKUP(B46,Crop_Cultivation!A:A,Crop_Cultivation!D:D)</f>
        <v>September</v>
      </c>
      <c r="K46" s="6" t="str">
        <f>_xlfn.XLOOKUP(B46,Crop_Cultivation!A:A,Crop_Cultivation!F:F)</f>
        <v>Planned</v>
      </c>
    </row>
    <row r="47" spans="1:11" ht="30" x14ac:dyDescent="0.25">
      <c r="A47" s="1" t="s">
        <v>116</v>
      </c>
      <c r="B47" s="1" t="s">
        <v>15</v>
      </c>
      <c r="C47" s="1" t="s">
        <v>25</v>
      </c>
      <c r="D47" s="1" t="s">
        <v>25</v>
      </c>
      <c r="E47" s="1">
        <v>8000</v>
      </c>
      <c r="F47" s="1">
        <v>1</v>
      </c>
      <c r="G47" s="1">
        <f t="shared" si="0"/>
        <v>8000</v>
      </c>
      <c r="H47" s="1" t="s">
        <v>107</v>
      </c>
      <c r="I47" s="6" t="str">
        <f>_xlfn.XLOOKUP(B47,Crop_Cultivation!A:A,Crop_Cultivation!B:B)</f>
        <v>Cotton</v>
      </c>
      <c r="J47" s="6" t="str">
        <f>_xlfn.XLOOKUP(B47,Crop_Cultivation!A:A,Crop_Cultivation!D:D)</f>
        <v>September</v>
      </c>
      <c r="K47" s="6" t="str">
        <f>_xlfn.XLOOKUP(B47,Crop_Cultivation!A:A,Crop_Cultivation!F:F)</f>
        <v>Planned</v>
      </c>
    </row>
    <row r="48" spans="1:11" ht="30" x14ac:dyDescent="0.25">
      <c r="A48" s="1" t="s">
        <v>117</v>
      </c>
      <c r="B48" s="1" t="s">
        <v>15</v>
      </c>
      <c r="C48" s="1" t="s">
        <v>28</v>
      </c>
      <c r="D48" s="1" t="s">
        <v>28</v>
      </c>
      <c r="E48" s="1">
        <v>4000</v>
      </c>
      <c r="F48" s="1">
        <v>1</v>
      </c>
      <c r="G48" s="1">
        <f t="shared" si="0"/>
        <v>4000</v>
      </c>
      <c r="H48" s="1" t="s">
        <v>107</v>
      </c>
      <c r="I48" s="6" t="str">
        <f>_xlfn.XLOOKUP(B48,Crop_Cultivation!A:A,Crop_Cultivation!B:B)</f>
        <v>Cotton</v>
      </c>
      <c r="J48" s="6" t="str">
        <f>_xlfn.XLOOKUP(B48,Crop_Cultivation!A:A,Crop_Cultivation!D:D)</f>
        <v>September</v>
      </c>
      <c r="K48" s="6" t="str">
        <f>_xlfn.XLOOKUP(B48,Crop_Cultivation!A:A,Crop_Cultivation!F:F)</f>
        <v>Planned</v>
      </c>
    </row>
    <row r="49" spans="1:11" ht="30" x14ac:dyDescent="0.25">
      <c r="A49" s="1" t="s">
        <v>118</v>
      </c>
      <c r="B49" s="1" t="s">
        <v>15</v>
      </c>
      <c r="C49" s="1" t="s">
        <v>30</v>
      </c>
      <c r="D49" s="1" t="s">
        <v>96</v>
      </c>
      <c r="E49" s="1">
        <v>3000</v>
      </c>
      <c r="F49" s="1">
        <v>1</v>
      </c>
      <c r="G49" s="1">
        <f t="shared" si="0"/>
        <v>3000</v>
      </c>
      <c r="H49" s="1" t="s">
        <v>107</v>
      </c>
      <c r="I49" s="6" t="str">
        <f>_xlfn.XLOOKUP(B49,Crop_Cultivation!A:A,Crop_Cultivation!B:B)</f>
        <v>Cotton</v>
      </c>
      <c r="J49" s="6" t="str">
        <f>_xlfn.XLOOKUP(B49,Crop_Cultivation!A:A,Crop_Cultivation!D:D)</f>
        <v>September</v>
      </c>
      <c r="K49" s="6" t="str">
        <f>_xlfn.XLOOKUP(B49,Crop_Cultivation!A:A,Crop_Cultivation!F:F)</f>
        <v>Planned</v>
      </c>
    </row>
    <row r="50" spans="1:11" ht="30" x14ac:dyDescent="0.25">
      <c r="A50" s="1" t="s">
        <v>119</v>
      </c>
      <c r="B50" s="1" t="s">
        <v>15</v>
      </c>
      <c r="C50" s="1" t="s">
        <v>30</v>
      </c>
      <c r="D50" s="1" t="s">
        <v>33</v>
      </c>
      <c r="E50" s="1">
        <v>2000</v>
      </c>
      <c r="F50" s="1">
        <v>1</v>
      </c>
      <c r="G50" s="1">
        <f t="shared" si="0"/>
        <v>2000</v>
      </c>
      <c r="H50" s="1" t="s">
        <v>107</v>
      </c>
      <c r="I50" s="6" t="str">
        <f>_xlfn.XLOOKUP(B50,Crop_Cultivation!A:A,Crop_Cultivation!B:B)</f>
        <v>Cotton</v>
      </c>
      <c r="J50" s="6" t="str">
        <f>_xlfn.XLOOKUP(B50,Crop_Cultivation!A:A,Crop_Cultivation!D:D)</f>
        <v>September</v>
      </c>
      <c r="K50" s="6" t="str">
        <f>_xlfn.XLOOKUP(B50,Crop_Cultivation!A:A,Crop_Cultivation!F:F)</f>
        <v>Planned</v>
      </c>
    </row>
    <row r="51" spans="1:11" ht="30" x14ac:dyDescent="0.25">
      <c r="A51" s="1" t="s">
        <v>120</v>
      </c>
      <c r="B51" s="1" t="s">
        <v>15</v>
      </c>
      <c r="C51" s="1" t="s">
        <v>30</v>
      </c>
      <c r="D51" s="1" t="s">
        <v>35</v>
      </c>
      <c r="E51" s="1">
        <v>1000</v>
      </c>
      <c r="F51" s="1">
        <v>1</v>
      </c>
      <c r="G51" s="1">
        <f t="shared" si="0"/>
        <v>1000</v>
      </c>
      <c r="H51" s="1" t="s">
        <v>107</v>
      </c>
      <c r="I51" s="6" t="str">
        <f>_xlfn.XLOOKUP(B51,Crop_Cultivation!A:A,Crop_Cultivation!B:B)</f>
        <v>Cotton</v>
      </c>
      <c r="J51" s="6" t="str">
        <f>_xlfn.XLOOKUP(B51,Crop_Cultivation!A:A,Crop_Cultivation!D:D)</f>
        <v>September</v>
      </c>
      <c r="K51" s="6" t="str">
        <f>_xlfn.XLOOKUP(B51,Crop_Cultivation!A:A,Crop_Cultivation!F:F)</f>
        <v>Planned</v>
      </c>
    </row>
    <row r="52" spans="1:11" ht="30" x14ac:dyDescent="0.25">
      <c r="A52" s="1" t="s">
        <v>121</v>
      </c>
      <c r="B52" s="1" t="s">
        <v>15</v>
      </c>
      <c r="C52" s="1" t="s">
        <v>30</v>
      </c>
      <c r="D52" s="1" t="s">
        <v>37</v>
      </c>
      <c r="E52" s="1">
        <v>3000</v>
      </c>
      <c r="F52" s="1">
        <v>1</v>
      </c>
      <c r="G52" s="1">
        <f t="shared" si="0"/>
        <v>3000</v>
      </c>
      <c r="H52" s="1" t="s">
        <v>107</v>
      </c>
      <c r="I52" s="6" t="str">
        <f>_xlfn.XLOOKUP(B52,Crop_Cultivation!A:A,Crop_Cultivation!B:B)</f>
        <v>Cotton</v>
      </c>
      <c r="J52" s="6" t="str">
        <f>_xlfn.XLOOKUP(B52,Crop_Cultivation!A:A,Crop_Cultivation!D:D)</f>
        <v>September</v>
      </c>
      <c r="K52" s="6" t="str">
        <f>_xlfn.XLOOKUP(B52,Crop_Cultivation!A:A,Crop_Cultivation!F:F)</f>
        <v>Planned</v>
      </c>
    </row>
    <row r="53" spans="1:11" ht="30" x14ac:dyDescent="0.25">
      <c r="A53" s="1" t="s">
        <v>122</v>
      </c>
      <c r="B53" s="1" t="s">
        <v>15</v>
      </c>
      <c r="C53" s="1" t="s">
        <v>30</v>
      </c>
      <c r="D53" s="1" t="s">
        <v>39</v>
      </c>
      <c r="E53" s="1">
        <v>10000</v>
      </c>
      <c r="F53" s="1">
        <v>1</v>
      </c>
      <c r="G53" s="1">
        <f t="shared" si="0"/>
        <v>10000</v>
      </c>
      <c r="H53" s="1" t="s">
        <v>107</v>
      </c>
      <c r="I53" s="6" t="str">
        <f>_xlfn.XLOOKUP(B53,Crop_Cultivation!A:A,Crop_Cultivation!B:B)</f>
        <v>Cotton</v>
      </c>
      <c r="J53" s="6" t="str">
        <f>_xlfn.XLOOKUP(B53,Crop_Cultivation!A:A,Crop_Cultivation!D:D)</f>
        <v>September</v>
      </c>
      <c r="K53" s="6" t="str">
        <f>_xlfn.XLOOKUP(B53,Crop_Cultivation!A:A,Crop_Cultivation!F:F)</f>
        <v>Planned</v>
      </c>
    </row>
    <row r="54" spans="1:11" ht="30" x14ac:dyDescent="0.25">
      <c r="A54" s="1" t="s">
        <v>123</v>
      </c>
      <c r="B54" s="1" t="s">
        <v>15</v>
      </c>
      <c r="C54" s="1" t="s">
        <v>43</v>
      </c>
      <c r="D54" s="1" t="s">
        <v>43</v>
      </c>
      <c r="E54" s="1">
        <v>7000</v>
      </c>
      <c r="F54" s="1">
        <v>1</v>
      </c>
      <c r="G54" s="1">
        <f t="shared" si="0"/>
        <v>7000</v>
      </c>
      <c r="H54" s="1" t="s">
        <v>107</v>
      </c>
      <c r="I54" s="6" t="str">
        <f>_xlfn.XLOOKUP(B54,Crop_Cultivation!A:A,Crop_Cultivation!B:B)</f>
        <v>Cotton</v>
      </c>
      <c r="J54" s="6" t="str">
        <f>_xlfn.XLOOKUP(B54,Crop_Cultivation!A:A,Crop_Cultivation!D:D)</f>
        <v>September</v>
      </c>
      <c r="K54" s="6" t="str">
        <f>_xlfn.XLOOKUP(B54,Crop_Cultivation!A:A,Crop_Cultivation!F:F)</f>
        <v>Planned</v>
      </c>
    </row>
    <row r="55" spans="1:11" ht="30" x14ac:dyDescent="0.25">
      <c r="A55" s="1" t="s">
        <v>124</v>
      </c>
      <c r="B55" s="1" t="s">
        <v>15</v>
      </c>
      <c r="C55" s="1" t="s">
        <v>45</v>
      </c>
      <c r="D55" s="1" t="s">
        <v>45</v>
      </c>
      <c r="E55" s="1">
        <v>2000</v>
      </c>
      <c r="F55" s="1">
        <v>1</v>
      </c>
      <c r="G55" s="1">
        <f t="shared" si="0"/>
        <v>2000</v>
      </c>
      <c r="H55" s="1" t="s">
        <v>107</v>
      </c>
      <c r="I55" s="6" t="str">
        <f>_xlfn.XLOOKUP(B55,Crop_Cultivation!A:A,Crop_Cultivation!B:B)</f>
        <v>Cotton</v>
      </c>
      <c r="J55" s="6" t="str">
        <f>_xlfn.XLOOKUP(B55,Crop_Cultivation!A:A,Crop_Cultivation!D:D)</f>
        <v>September</v>
      </c>
      <c r="K55" s="6" t="str">
        <f>_xlfn.XLOOKUP(B55,Crop_Cultivation!A:A,Crop_Cultivation!F:F)</f>
        <v>Planned</v>
      </c>
    </row>
    <row r="56" spans="1:11" ht="30" x14ac:dyDescent="0.25">
      <c r="A56" s="1" t="s">
        <v>125</v>
      </c>
      <c r="B56" s="1" t="s">
        <v>16</v>
      </c>
      <c r="C56" s="1" t="s">
        <v>25</v>
      </c>
      <c r="D56" s="1" t="s">
        <v>25</v>
      </c>
      <c r="E56" s="1">
        <v>4500</v>
      </c>
      <c r="F56" s="1">
        <v>2</v>
      </c>
      <c r="G56" s="1">
        <f t="shared" si="0"/>
        <v>9000</v>
      </c>
      <c r="H56" s="1" t="s">
        <v>107</v>
      </c>
      <c r="I56" s="6" t="str">
        <f>_xlfn.XLOOKUP(B56,Crop_Cultivation!A:A,Crop_Cultivation!B:B)</f>
        <v>Maize</v>
      </c>
      <c r="J56" s="6" t="str">
        <f>_xlfn.XLOOKUP(B56,Crop_Cultivation!A:A,Crop_Cultivation!D:D)</f>
        <v>September</v>
      </c>
      <c r="K56" s="6" t="str">
        <f>_xlfn.XLOOKUP(B56,Crop_Cultivation!A:A,Crop_Cultivation!F:F)</f>
        <v>Planned</v>
      </c>
    </row>
    <row r="57" spans="1:11" ht="30" x14ac:dyDescent="0.25">
      <c r="A57" s="1" t="s">
        <v>126</v>
      </c>
      <c r="B57" s="1" t="s">
        <v>16</v>
      </c>
      <c r="C57" s="1" t="s">
        <v>28</v>
      </c>
      <c r="D57" s="1" t="s">
        <v>28</v>
      </c>
      <c r="E57" s="1">
        <v>1000</v>
      </c>
      <c r="F57" s="1">
        <v>2</v>
      </c>
      <c r="G57" s="1">
        <f t="shared" si="0"/>
        <v>2000</v>
      </c>
      <c r="H57" s="1" t="s">
        <v>107</v>
      </c>
      <c r="I57" s="6" t="str">
        <f>_xlfn.XLOOKUP(B57,Crop_Cultivation!A:A,Crop_Cultivation!B:B)</f>
        <v>Maize</v>
      </c>
      <c r="J57" s="6" t="str">
        <f>_xlfn.XLOOKUP(B57,Crop_Cultivation!A:A,Crop_Cultivation!D:D)</f>
        <v>September</v>
      </c>
      <c r="K57" s="6" t="str">
        <f>_xlfn.XLOOKUP(B57,Crop_Cultivation!A:A,Crop_Cultivation!F:F)</f>
        <v>Planned</v>
      </c>
    </row>
    <row r="58" spans="1:11" ht="30" x14ac:dyDescent="0.25">
      <c r="A58" s="1" t="s">
        <v>127</v>
      </c>
      <c r="B58" s="1" t="s">
        <v>16</v>
      </c>
      <c r="C58" s="1" t="s">
        <v>30</v>
      </c>
      <c r="D58" s="1" t="s">
        <v>31</v>
      </c>
      <c r="E58" s="1">
        <v>2000</v>
      </c>
      <c r="F58" s="1">
        <v>2</v>
      </c>
      <c r="G58" s="1">
        <f t="shared" si="0"/>
        <v>4000</v>
      </c>
      <c r="H58" s="1" t="s">
        <v>107</v>
      </c>
      <c r="I58" s="6" t="str">
        <f>_xlfn.XLOOKUP(B58,Crop_Cultivation!A:A,Crop_Cultivation!B:B)</f>
        <v>Maize</v>
      </c>
      <c r="J58" s="6" t="str">
        <f>_xlfn.XLOOKUP(B58,Crop_Cultivation!A:A,Crop_Cultivation!D:D)</f>
        <v>September</v>
      </c>
      <c r="K58" s="6" t="str">
        <f>_xlfn.XLOOKUP(B58,Crop_Cultivation!A:A,Crop_Cultivation!F:F)</f>
        <v>Planned</v>
      </c>
    </row>
    <row r="59" spans="1:11" ht="30" x14ac:dyDescent="0.25">
      <c r="A59" s="1" t="s">
        <v>128</v>
      </c>
      <c r="B59" s="1" t="s">
        <v>16</v>
      </c>
      <c r="C59" s="1" t="s">
        <v>30</v>
      </c>
      <c r="D59" s="1" t="s">
        <v>33</v>
      </c>
      <c r="E59" s="1">
        <v>2000</v>
      </c>
      <c r="F59" s="1">
        <v>2</v>
      </c>
      <c r="G59" s="1">
        <f t="shared" si="0"/>
        <v>4000</v>
      </c>
      <c r="H59" s="1" t="s">
        <v>107</v>
      </c>
      <c r="I59" s="6" t="str">
        <f>_xlfn.XLOOKUP(B59,Crop_Cultivation!A:A,Crop_Cultivation!B:B)</f>
        <v>Maize</v>
      </c>
      <c r="J59" s="6" t="str">
        <f>_xlfn.XLOOKUP(B59,Crop_Cultivation!A:A,Crop_Cultivation!D:D)</f>
        <v>September</v>
      </c>
      <c r="K59" s="6" t="str">
        <f>_xlfn.XLOOKUP(B59,Crop_Cultivation!A:A,Crop_Cultivation!F:F)</f>
        <v>Planned</v>
      </c>
    </row>
    <row r="60" spans="1:11" ht="30" x14ac:dyDescent="0.25">
      <c r="A60" s="1" t="s">
        <v>129</v>
      </c>
      <c r="B60" s="1" t="s">
        <v>16</v>
      </c>
      <c r="C60" s="1" t="s">
        <v>30</v>
      </c>
      <c r="D60" s="1" t="s">
        <v>35</v>
      </c>
      <c r="E60" s="1">
        <v>1000</v>
      </c>
      <c r="F60" s="1">
        <v>2</v>
      </c>
      <c r="G60" s="1">
        <f t="shared" si="0"/>
        <v>2000</v>
      </c>
      <c r="H60" s="1" t="s">
        <v>107</v>
      </c>
      <c r="I60" s="6" t="str">
        <f>_xlfn.XLOOKUP(B60,Crop_Cultivation!A:A,Crop_Cultivation!B:B)</f>
        <v>Maize</v>
      </c>
      <c r="J60" s="6" t="str">
        <f>_xlfn.XLOOKUP(B60,Crop_Cultivation!A:A,Crop_Cultivation!D:D)</f>
        <v>September</v>
      </c>
      <c r="K60" s="6" t="str">
        <f>_xlfn.XLOOKUP(B60,Crop_Cultivation!A:A,Crop_Cultivation!F:F)</f>
        <v>Planned</v>
      </c>
    </row>
    <row r="61" spans="1:11" ht="30" x14ac:dyDescent="0.25">
      <c r="A61" s="1" t="s">
        <v>130</v>
      </c>
      <c r="B61" s="1" t="s">
        <v>16</v>
      </c>
      <c r="C61" s="1" t="s">
        <v>30</v>
      </c>
      <c r="D61" s="1" t="s">
        <v>37</v>
      </c>
      <c r="E61" s="1">
        <v>3000</v>
      </c>
      <c r="F61" s="1">
        <v>2</v>
      </c>
      <c r="G61" s="1">
        <f t="shared" si="0"/>
        <v>6000</v>
      </c>
      <c r="H61" s="1" t="s">
        <v>107</v>
      </c>
      <c r="I61" s="6" t="str">
        <f>_xlfn.XLOOKUP(B61,Crop_Cultivation!A:A,Crop_Cultivation!B:B)</f>
        <v>Maize</v>
      </c>
      <c r="J61" s="6" t="str">
        <f>_xlfn.XLOOKUP(B61,Crop_Cultivation!A:A,Crop_Cultivation!D:D)</f>
        <v>September</v>
      </c>
      <c r="K61" s="6" t="str">
        <f>_xlfn.XLOOKUP(B61,Crop_Cultivation!A:A,Crop_Cultivation!F:F)</f>
        <v>Planned</v>
      </c>
    </row>
    <row r="62" spans="1:11" ht="30" x14ac:dyDescent="0.25">
      <c r="A62" s="1" t="s">
        <v>131</v>
      </c>
      <c r="B62" s="1" t="s">
        <v>16</v>
      </c>
      <c r="C62" s="1" t="s">
        <v>30</v>
      </c>
      <c r="D62" s="1" t="s">
        <v>39</v>
      </c>
      <c r="E62" s="1">
        <v>4000</v>
      </c>
      <c r="F62" s="1">
        <v>2</v>
      </c>
      <c r="G62" s="1">
        <f t="shared" si="0"/>
        <v>8000</v>
      </c>
      <c r="H62" s="1" t="s">
        <v>107</v>
      </c>
      <c r="I62" s="6" t="str">
        <f>_xlfn.XLOOKUP(B62,Crop_Cultivation!A:A,Crop_Cultivation!B:B)</f>
        <v>Maize</v>
      </c>
      <c r="J62" s="6" t="str">
        <f>_xlfn.XLOOKUP(B62,Crop_Cultivation!A:A,Crop_Cultivation!D:D)</f>
        <v>September</v>
      </c>
      <c r="K62" s="6" t="str">
        <f>_xlfn.XLOOKUP(B62,Crop_Cultivation!A:A,Crop_Cultivation!F:F)</f>
        <v>Planned</v>
      </c>
    </row>
    <row r="63" spans="1:11" ht="30" x14ac:dyDescent="0.25">
      <c r="A63" s="1" t="s">
        <v>132</v>
      </c>
      <c r="B63" s="1" t="s">
        <v>16</v>
      </c>
      <c r="C63" s="1" t="s">
        <v>30</v>
      </c>
      <c r="D63" s="1" t="s">
        <v>41</v>
      </c>
      <c r="E63" s="1">
        <v>2000</v>
      </c>
      <c r="F63" s="1">
        <v>2</v>
      </c>
      <c r="G63" s="1">
        <f t="shared" si="0"/>
        <v>4000</v>
      </c>
      <c r="H63" s="1" t="s">
        <v>107</v>
      </c>
      <c r="I63" s="6" t="str">
        <f>_xlfn.XLOOKUP(B63,Crop_Cultivation!A:A,Crop_Cultivation!B:B)</f>
        <v>Maize</v>
      </c>
      <c r="J63" s="6" t="str">
        <f>_xlfn.XLOOKUP(B63,Crop_Cultivation!A:A,Crop_Cultivation!D:D)</f>
        <v>September</v>
      </c>
      <c r="K63" s="6" t="str">
        <f>_xlfn.XLOOKUP(B63,Crop_Cultivation!A:A,Crop_Cultivation!F:F)</f>
        <v>Planned</v>
      </c>
    </row>
    <row r="64" spans="1:11" ht="30" x14ac:dyDescent="0.25">
      <c r="A64" s="1" t="s">
        <v>133</v>
      </c>
      <c r="B64" s="1" t="s">
        <v>16</v>
      </c>
      <c r="C64" s="1" t="s">
        <v>43</v>
      </c>
      <c r="D64" s="1" t="s">
        <v>43</v>
      </c>
      <c r="E64" s="1">
        <v>5000</v>
      </c>
      <c r="F64" s="1">
        <v>2</v>
      </c>
      <c r="G64" s="1">
        <f t="shared" si="0"/>
        <v>10000</v>
      </c>
      <c r="H64" s="1" t="s">
        <v>107</v>
      </c>
      <c r="I64" s="6" t="str">
        <f>_xlfn.XLOOKUP(B64,Crop_Cultivation!A:A,Crop_Cultivation!B:B)</f>
        <v>Maize</v>
      </c>
      <c r="J64" s="6" t="str">
        <f>_xlfn.XLOOKUP(B64,Crop_Cultivation!A:A,Crop_Cultivation!D:D)</f>
        <v>September</v>
      </c>
      <c r="K64" s="6" t="str">
        <f>_xlfn.XLOOKUP(B64,Crop_Cultivation!A:A,Crop_Cultivation!F:F)</f>
        <v>Planned</v>
      </c>
    </row>
    <row r="65" spans="1:11" ht="30" x14ac:dyDescent="0.25">
      <c r="A65" s="1" t="s">
        <v>134</v>
      </c>
      <c r="B65" s="1" t="s">
        <v>16</v>
      </c>
      <c r="C65" s="1" t="s">
        <v>45</v>
      </c>
      <c r="D65" s="1" t="s">
        <v>45</v>
      </c>
      <c r="E65" s="1">
        <v>2100</v>
      </c>
      <c r="F65" s="1">
        <v>2</v>
      </c>
      <c r="G65" s="1">
        <f t="shared" si="0"/>
        <v>4200</v>
      </c>
      <c r="H65" s="1" t="s">
        <v>107</v>
      </c>
      <c r="I65" s="6" t="str">
        <f>_xlfn.XLOOKUP(B65,Crop_Cultivation!A:A,Crop_Cultivation!B:B)</f>
        <v>Maize</v>
      </c>
      <c r="J65" s="6" t="str">
        <f>_xlfn.XLOOKUP(B65,Crop_Cultivation!A:A,Crop_Cultivation!D:D)</f>
        <v>September</v>
      </c>
      <c r="K65" s="6" t="str">
        <f>_xlfn.XLOOKUP(B65,Crop_Cultivation!A:A,Crop_Cultivation!F:F)</f>
        <v>Planned</v>
      </c>
    </row>
    <row r="66" spans="1:11" x14ac:dyDescent="0.25">
      <c r="A66" s="1" t="s">
        <v>176</v>
      </c>
      <c r="B66" s="1" t="s">
        <v>5</v>
      </c>
      <c r="C66" s="1" t="s">
        <v>30</v>
      </c>
      <c r="D66" s="1" t="s">
        <v>39</v>
      </c>
      <c r="E66" s="1">
        <v>15000</v>
      </c>
      <c r="F66" s="1">
        <v>1</v>
      </c>
      <c r="G66" s="1">
        <f t="shared" si="0"/>
        <v>15000</v>
      </c>
      <c r="H66" s="1" t="s">
        <v>26</v>
      </c>
      <c r="I66" s="6" t="str">
        <f>_xlfn.XLOOKUP(B66,Crop_Cultivation!A:A,Crop_Cultivation!B:B)</f>
        <v>Lady's Finger</v>
      </c>
      <c r="J66" s="6" t="str">
        <f>_xlfn.XLOOKUP(B66,Crop_Cultivation!A:A,Crop_Cultivation!D:D)</f>
        <v>January</v>
      </c>
      <c r="K66" s="6" t="str">
        <f>_xlfn.XLOOKUP(B66,Crop_Cultivation!A:A,Crop_Cultivation!F:F)</f>
        <v>Actual</v>
      </c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C4C5-150E-4E9F-80D1-C7B4608E8018}">
  <dimension ref="A1:H14"/>
  <sheetViews>
    <sheetView workbookViewId="0">
      <selection activeCell="D14" sqref="D14"/>
    </sheetView>
  </sheetViews>
  <sheetFormatPr defaultRowHeight="15" x14ac:dyDescent="0.25"/>
  <cols>
    <col min="1" max="1" width="10.85546875" style="6" customWidth="1"/>
    <col min="2" max="2" width="16" style="6" customWidth="1"/>
    <col min="3" max="3" width="13.7109375" style="6" customWidth="1"/>
    <col min="4" max="4" width="12.42578125" style="6" customWidth="1"/>
    <col min="5" max="5" width="11.7109375" style="6" bestFit="1" customWidth="1"/>
    <col min="6" max="6" width="12.42578125" style="6" customWidth="1"/>
    <col min="7" max="7" width="14.85546875" style="6" bestFit="1" customWidth="1"/>
    <col min="8" max="8" width="16.85546875" style="6" bestFit="1" customWidth="1"/>
    <col min="9" max="16384" width="9.140625" style="6"/>
  </cols>
  <sheetData>
    <row r="1" spans="1:8" x14ac:dyDescent="0.25">
      <c r="A1" s="2" t="s">
        <v>46</v>
      </c>
      <c r="B1" s="2" t="s">
        <v>0</v>
      </c>
      <c r="C1" s="2" t="s">
        <v>1</v>
      </c>
      <c r="D1" s="2" t="s">
        <v>47</v>
      </c>
      <c r="E1" s="2" t="s">
        <v>48</v>
      </c>
      <c r="F1" s="2" t="s">
        <v>49</v>
      </c>
      <c r="G1" s="8" t="s">
        <v>3</v>
      </c>
      <c r="H1" s="8" t="s">
        <v>103</v>
      </c>
    </row>
    <row r="2" spans="1:8" x14ac:dyDescent="0.25">
      <c r="A2" s="1" t="s">
        <v>50</v>
      </c>
      <c r="B2" s="1" t="s">
        <v>8</v>
      </c>
      <c r="C2" s="1" t="s">
        <v>9</v>
      </c>
      <c r="D2" s="1">
        <v>1</v>
      </c>
      <c r="E2" s="1">
        <v>5000</v>
      </c>
      <c r="F2" s="1" t="s">
        <v>26</v>
      </c>
      <c r="G2" s="6" t="str">
        <f>_xlfn.XLOOKUP(B2,Crop_Cultivation!A:A,Crop_Cultivation!D:D)</f>
        <v>January</v>
      </c>
      <c r="H2" s="6" t="str">
        <f>_xlfn.XLOOKUP(B2,Crop_Cultivation!A:A,Crop_Cultivation!F:F)</f>
        <v>Actual</v>
      </c>
    </row>
    <row r="3" spans="1:8" x14ac:dyDescent="0.25">
      <c r="A3" s="1" t="s">
        <v>135</v>
      </c>
      <c r="B3" s="1" t="s">
        <v>5</v>
      </c>
      <c r="C3" s="1" t="s">
        <v>6</v>
      </c>
      <c r="D3" s="1">
        <v>1</v>
      </c>
      <c r="E3" s="1">
        <v>390</v>
      </c>
      <c r="F3" s="1" t="s">
        <v>26</v>
      </c>
      <c r="G3" s="6" t="str">
        <f>_xlfn.XLOOKUP(B3,Crop_Cultivation!A:A,Crop_Cultivation!D:D)</f>
        <v>January</v>
      </c>
      <c r="H3" s="6" t="str">
        <f>_xlfn.XLOOKUP(B3,Crop_Cultivation!A:A,Crop_Cultivation!F:F)</f>
        <v>Actual</v>
      </c>
    </row>
    <row r="4" spans="1:8" x14ac:dyDescent="0.25">
      <c r="A4" s="1" t="s">
        <v>138</v>
      </c>
      <c r="B4" s="1" t="s">
        <v>10</v>
      </c>
      <c r="C4" s="1" t="s">
        <v>11</v>
      </c>
      <c r="D4" s="1">
        <v>1</v>
      </c>
      <c r="E4" s="1">
        <v>1200</v>
      </c>
      <c r="F4" s="1" t="s">
        <v>26</v>
      </c>
      <c r="G4" s="6" t="str">
        <f>_xlfn.XLOOKUP(B4,Crop_Cultivation!A:A,Crop_Cultivation!D:D)</f>
        <v>February</v>
      </c>
      <c r="H4" s="6" t="str">
        <f>_xlfn.XLOOKUP(B4,Crop_Cultivation!A:A,Crop_Cultivation!F:F)</f>
        <v>Actual</v>
      </c>
    </row>
    <row r="5" spans="1:8" x14ac:dyDescent="0.25">
      <c r="A5" s="1"/>
    </row>
    <row r="6" spans="1:8" x14ac:dyDescent="0.25">
      <c r="A6" s="1"/>
    </row>
    <row r="7" spans="1:8" x14ac:dyDescent="0.25">
      <c r="A7" s="1"/>
    </row>
    <row r="8" spans="1:8" x14ac:dyDescent="0.25">
      <c r="A8" s="1"/>
      <c r="G8" s="1"/>
    </row>
    <row r="9" spans="1:8" x14ac:dyDescent="0.25">
      <c r="F9" s="1"/>
      <c r="G9" s="1"/>
    </row>
    <row r="10" spans="1:8" x14ac:dyDescent="0.25">
      <c r="F10" s="1"/>
      <c r="G10" s="1"/>
    </row>
    <row r="11" spans="1:8" x14ac:dyDescent="0.25">
      <c r="F11" s="1"/>
      <c r="G11" s="1"/>
    </row>
    <row r="12" spans="1:8" x14ac:dyDescent="0.25">
      <c r="F12" s="1"/>
      <c r="G12" s="1"/>
    </row>
    <row r="13" spans="1:8" x14ac:dyDescent="0.25">
      <c r="F13" s="1"/>
      <c r="G13" s="1"/>
    </row>
    <row r="14" spans="1:8" x14ac:dyDescent="0.25">
      <c r="F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1046-85F2-4D47-BAF6-C8069981B9BC}">
  <dimension ref="A1:I13"/>
  <sheetViews>
    <sheetView workbookViewId="0">
      <selection activeCell="E8" sqref="E8"/>
    </sheetView>
  </sheetViews>
  <sheetFormatPr defaultRowHeight="15" x14ac:dyDescent="0.25"/>
  <cols>
    <col min="1" max="1" width="7.7109375" style="6" bestFit="1" customWidth="1"/>
    <col min="2" max="2" width="14" style="6" bestFit="1" customWidth="1"/>
    <col min="3" max="3" width="6.140625" style="6" bestFit="1" customWidth="1"/>
    <col min="4" max="4" width="11.7109375" style="6" bestFit="1" customWidth="1"/>
    <col min="5" max="5" width="19.28515625" style="6" customWidth="1"/>
    <col min="6" max="6" width="14.42578125" style="6" bestFit="1" customWidth="1"/>
    <col min="7" max="7" width="12.140625" style="6" bestFit="1" customWidth="1"/>
    <col min="8" max="16384" width="9.140625" style="6"/>
  </cols>
  <sheetData>
    <row r="1" spans="1:9" ht="30" x14ac:dyDescent="0.25">
      <c r="A1" s="2" t="s">
        <v>51</v>
      </c>
      <c r="B1" s="2" t="s">
        <v>0</v>
      </c>
      <c r="C1" s="2" t="s">
        <v>1</v>
      </c>
      <c r="D1" s="2" t="s">
        <v>48</v>
      </c>
      <c r="E1" s="2" t="s">
        <v>52</v>
      </c>
      <c r="F1" s="2" t="s">
        <v>53</v>
      </c>
      <c r="G1" s="2" t="s">
        <v>49</v>
      </c>
      <c r="H1" s="8" t="s">
        <v>3</v>
      </c>
      <c r="I1" s="8" t="s">
        <v>103</v>
      </c>
    </row>
    <row r="2" spans="1:9" x14ac:dyDescent="0.25">
      <c r="A2" s="1" t="s">
        <v>54</v>
      </c>
      <c r="B2" s="1" t="s">
        <v>8</v>
      </c>
      <c r="C2" s="1" t="s">
        <v>9</v>
      </c>
      <c r="D2" s="1">
        <v>5000</v>
      </c>
      <c r="E2" s="1">
        <v>20</v>
      </c>
      <c r="F2" s="1">
        <f>D2*E2</f>
        <v>100000</v>
      </c>
      <c r="G2" s="1" t="s">
        <v>26</v>
      </c>
      <c r="H2" s="6" t="str">
        <f>_xlfn.XLOOKUP(B2,Crop_Cultivation!A:A,Crop_Cultivation!D:D)</f>
        <v>January</v>
      </c>
      <c r="I2" s="6" t="str">
        <f>_xlfn.XLOOKUP(B2,Crop_Cultivation!A:A,Crop_Cultivation!F:F)</f>
        <v>Actual</v>
      </c>
    </row>
    <row r="3" spans="1:9" ht="60" x14ac:dyDescent="0.25">
      <c r="A3" s="1" t="s">
        <v>136</v>
      </c>
      <c r="B3" s="1" t="s">
        <v>5</v>
      </c>
      <c r="C3" s="1" t="s">
        <v>6</v>
      </c>
      <c r="D3" s="1">
        <v>390</v>
      </c>
      <c r="E3" s="1">
        <v>100</v>
      </c>
      <c r="F3" s="1">
        <f>D3*E3</f>
        <v>39000</v>
      </c>
      <c r="G3" s="1" t="s">
        <v>26</v>
      </c>
      <c r="H3" s="6" t="str">
        <f>_xlfn.XLOOKUP(B3,Crop_Cultivation!A:A,Crop_Cultivation!D:D)</f>
        <v>January</v>
      </c>
      <c r="I3" s="6" t="str">
        <f>_xlfn.XLOOKUP(B3,Crop_Cultivation!A:A,Crop_Cultivation!F:F)</f>
        <v>Actual</v>
      </c>
    </row>
    <row r="4" spans="1:9" ht="30" x14ac:dyDescent="0.25">
      <c r="A4" s="1" t="s">
        <v>137</v>
      </c>
      <c r="B4" s="1" t="s">
        <v>10</v>
      </c>
      <c r="C4" s="1" t="s">
        <v>11</v>
      </c>
      <c r="D4" s="1">
        <v>1200</v>
      </c>
      <c r="E4" s="1">
        <v>80</v>
      </c>
      <c r="F4" s="1">
        <f>D4*E4</f>
        <v>96000</v>
      </c>
      <c r="G4" s="1" t="s">
        <v>26</v>
      </c>
      <c r="H4" s="6" t="str">
        <f>_xlfn.XLOOKUP(B4,Crop_Cultivation!A:A,Crop_Cultivation!D:D)</f>
        <v>February</v>
      </c>
      <c r="I4" s="6" t="str">
        <f>_xlfn.XLOOKUP(B4,Crop_Cultivation!A:A,Crop_Cultivation!F:F)</f>
        <v>Actual</v>
      </c>
    </row>
    <row r="5" spans="1:9" x14ac:dyDescent="0.25">
      <c r="F5" s="6">
        <f>SUM(F2:F4)</f>
        <v>235000</v>
      </c>
    </row>
    <row r="7" spans="1:9" x14ac:dyDescent="0.25">
      <c r="G7" s="1"/>
    </row>
    <row r="8" spans="1:9" x14ac:dyDescent="0.25">
      <c r="F8" s="1"/>
      <c r="G8" s="1"/>
    </row>
    <row r="9" spans="1:9" x14ac:dyDescent="0.25">
      <c r="F9" s="1"/>
      <c r="G9" s="1"/>
    </row>
    <row r="10" spans="1:9" x14ac:dyDescent="0.25">
      <c r="F10" s="1"/>
      <c r="G10" s="1"/>
    </row>
    <row r="11" spans="1:9" x14ac:dyDescent="0.25">
      <c r="F11" s="1"/>
      <c r="G11" s="1"/>
    </row>
    <row r="12" spans="1:9" x14ac:dyDescent="0.25">
      <c r="F12" s="1"/>
      <c r="G12" s="1"/>
    </row>
    <row r="13" spans="1:9" x14ac:dyDescent="0.25">
      <c r="F13" s="1"/>
      <c r="G13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6BE9-F008-4A85-8F86-1F41A7A6FA69}">
  <dimension ref="A1:K19"/>
  <sheetViews>
    <sheetView zoomScale="89" zoomScaleNormal="89" workbookViewId="0">
      <selection activeCell="G13" sqref="G13"/>
    </sheetView>
  </sheetViews>
  <sheetFormatPr defaultRowHeight="15" x14ac:dyDescent="0.25"/>
  <cols>
    <col min="1" max="1" width="14.85546875" style="6" bestFit="1" customWidth="1"/>
    <col min="2" max="2" width="12.140625" style="6" bestFit="1" customWidth="1"/>
    <col min="3" max="4" width="9.140625" style="6"/>
    <col min="5" max="6" width="13" style="6" customWidth="1"/>
    <col min="7" max="8" width="16" style="6" customWidth="1"/>
    <col min="9" max="9" width="11.140625" style="6" customWidth="1"/>
    <col min="10" max="16384" width="9.140625" style="6"/>
  </cols>
  <sheetData>
    <row r="1" spans="1:11" x14ac:dyDescent="0.25">
      <c r="A1" s="2" t="s">
        <v>55</v>
      </c>
      <c r="B1" s="2" t="s">
        <v>56</v>
      </c>
      <c r="C1" s="8"/>
      <c r="D1" s="2" t="s">
        <v>1</v>
      </c>
      <c r="E1" s="2" t="s">
        <v>2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</row>
    <row r="2" spans="1:11" ht="30" x14ac:dyDescent="0.25">
      <c r="A2" s="1" t="s">
        <v>57</v>
      </c>
      <c r="B2" s="1">
        <f>SUM(E2:E4)</f>
        <v>4</v>
      </c>
      <c r="D2" s="1" t="s">
        <v>9</v>
      </c>
      <c r="E2" s="6">
        <f>SUMIFS(Crop_Cultivation!$C:$C,Crop_Cultivation!$B:$B,D2,Crop_Cultivation!$F:$F,"Actual")</f>
        <v>2</v>
      </c>
      <c r="F2" s="6">
        <f>SUMIFS(Expenses!$G:$G,Expenses!$I:$I,D2,Expenses!$H:$H,"Approximate")</f>
        <v>53200</v>
      </c>
      <c r="G2" s="6">
        <f>SUMIFS(Harvest!$E:$E,Harvest!$C:$C,D2,Harvest!$F:$F,"Approximate")</f>
        <v>5000</v>
      </c>
      <c r="H2" s="6">
        <f>SUMIFS(Sales!$F:$F,Sales!$C:$C,D2,Sales!$G:$G,"Approximate")</f>
        <v>100000</v>
      </c>
      <c r="I2" s="6">
        <f>H2-F2</f>
        <v>46800</v>
      </c>
      <c r="J2" s="11">
        <f>IFERROR(I2/F2,0)</f>
        <v>0.87969924812030076</v>
      </c>
    </row>
    <row r="3" spans="1:11" x14ac:dyDescent="0.25">
      <c r="A3" s="1" t="s">
        <v>58</v>
      </c>
      <c r="B3" s="9">
        <f>SUM(F2:F4)</f>
        <v>153700</v>
      </c>
      <c r="D3" s="1" t="s">
        <v>11</v>
      </c>
      <c r="E3" s="6">
        <f>SUMIFS(Crop_Cultivation!$C:$C,Crop_Cultivation!$B:$B,D3,Crop_Cultivation!$F:$F,"Actual")</f>
        <v>1</v>
      </c>
      <c r="F3" s="6">
        <f>SUMIFS(Expenses!$G:$G,Expenses!$I:$I,D3,Expenses!$H:$H,"Approximate")</f>
        <v>40000</v>
      </c>
      <c r="G3" s="6">
        <f>SUMIFS(Harvest!$E:$E,Harvest!$C:$C,D3,Harvest!$F:$F,"Approximate")</f>
        <v>1200</v>
      </c>
      <c r="H3" s="6">
        <f>SUMIFS(Sales!$F:$F,Sales!$C:$C,D3,Sales!$G:$G,"Approximate")</f>
        <v>96000</v>
      </c>
      <c r="I3" s="6">
        <f t="shared" ref="I3:I4" si="0">H3-F3</f>
        <v>56000</v>
      </c>
      <c r="J3" s="11">
        <f t="shared" ref="J3:J4" si="1">IFERROR(I3/F3,0)</f>
        <v>1.4</v>
      </c>
    </row>
    <row r="4" spans="1:11" ht="30" x14ac:dyDescent="0.25">
      <c r="A4" s="1" t="s">
        <v>59</v>
      </c>
      <c r="B4" s="10">
        <f>SUM(G2:G4)</f>
        <v>6590</v>
      </c>
      <c r="D4" s="1" t="s">
        <v>6</v>
      </c>
      <c r="E4" s="6">
        <f>SUMIFS(Crop_Cultivation!$C:$C,Crop_Cultivation!$B:$B,D4,Crop_Cultivation!$F:$F,"Actual")</f>
        <v>1</v>
      </c>
      <c r="F4" s="6">
        <f>SUMIFS(Expenses!$G:$G,Expenses!$I:$I,D4,Expenses!$H:$H,"Approximate")</f>
        <v>60500</v>
      </c>
      <c r="G4" s="6">
        <f>SUMIFS(Harvest!$E:$E,Harvest!$C:$C,D4,Harvest!$F:$F,"Approximate")</f>
        <v>390</v>
      </c>
      <c r="H4" s="6">
        <f>SUMIFS(Sales!$F:$F,Sales!$C:$C,D4,Sales!$G:$G,"Approximate")</f>
        <v>39000</v>
      </c>
      <c r="I4" s="6">
        <f t="shared" si="0"/>
        <v>-21500</v>
      </c>
      <c r="J4" s="11">
        <f t="shared" si="1"/>
        <v>-0.35537190082644626</v>
      </c>
    </row>
    <row r="5" spans="1:11" x14ac:dyDescent="0.25">
      <c r="A5" s="1" t="s">
        <v>60</v>
      </c>
      <c r="B5" s="9">
        <f>SUM(H2:H4)</f>
        <v>235000</v>
      </c>
    </row>
    <row r="6" spans="1:11" x14ac:dyDescent="0.25">
      <c r="A6" s="1" t="s">
        <v>61</v>
      </c>
      <c r="B6" s="9">
        <f>B5-B3</f>
        <v>81300</v>
      </c>
      <c r="D6" s="2" t="s">
        <v>177</v>
      </c>
      <c r="E6" s="2" t="s">
        <v>23</v>
      </c>
      <c r="F6" s="2" t="s">
        <v>2</v>
      </c>
      <c r="G6" s="2" t="s">
        <v>139</v>
      </c>
      <c r="H6" s="2" t="s">
        <v>140</v>
      </c>
      <c r="I6" s="2" t="s">
        <v>141</v>
      </c>
      <c r="J6" s="2" t="s">
        <v>142</v>
      </c>
      <c r="K6" s="8" t="s">
        <v>143</v>
      </c>
    </row>
    <row r="7" spans="1:11" x14ac:dyDescent="0.25">
      <c r="A7" s="1" t="s">
        <v>62</v>
      </c>
      <c r="B7" s="9">
        <f>B3/B2</f>
        <v>38425</v>
      </c>
      <c r="D7" s="1" t="s">
        <v>7</v>
      </c>
      <c r="E7" s="1" t="s">
        <v>104</v>
      </c>
      <c r="F7" s="1">
        <f>SUMIFS(Crop_Cultivation!$C:$C,Crop_Cultivation!$D:$D,D7,Crop_Cultivation!$F:$F,E7)</f>
        <v>3</v>
      </c>
      <c r="G7" s="1">
        <f>SUMIFS(Expenses!$G:$G,Expenses!$J:$J,D7,Expenses!$K:$K,E7)</f>
        <v>113700</v>
      </c>
      <c r="H7" s="1">
        <f>SUMIFS(Harvest!$E:$E,Harvest!$G:$G,D7,Harvest!$H:$H,E7)</f>
        <v>5390</v>
      </c>
      <c r="I7" s="1">
        <f>SUMIFS(Sales!$F:$F,Sales!$H:$H,D7,Sales!$I:$I,E7)</f>
        <v>139000</v>
      </c>
      <c r="J7" s="1">
        <f>IF(E7="Planned","",I7-G7)</f>
        <v>25300</v>
      </c>
      <c r="K7" s="11">
        <f>IF(E7="Planned","",J7/G7)</f>
        <v>0.22251539138082674</v>
      </c>
    </row>
    <row r="8" spans="1:11" x14ac:dyDescent="0.25">
      <c r="A8" s="1" t="s">
        <v>63</v>
      </c>
      <c r="B8" s="10">
        <f>B4/B2</f>
        <v>1647.5</v>
      </c>
      <c r="D8" s="1" t="s">
        <v>12</v>
      </c>
      <c r="E8" s="1" t="s">
        <v>104</v>
      </c>
      <c r="F8" s="1">
        <f>SUMIFS(Crop_Cultivation!$C:$C,Crop_Cultivation!$D:$D,D8,Crop_Cultivation!$F:$F,E8)</f>
        <v>1</v>
      </c>
      <c r="G8" s="1">
        <f>SUMIFS(Expenses!$G:$G,Expenses!$J:$J,D8,Expenses!$K:$K,E8)</f>
        <v>40000</v>
      </c>
      <c r="H8" s="1">
        <f>SUMIFS(Harvest!$E:$E,Harvest!$G:$G,D8,Harvest!$H:$H,E8)</f>
        <v>1200</v>
      </c>
      <c r="I8" s="1">
        <f>SUMIFS(Sales!$F:$F,Sales!$H:$H,D8,Sales!$I:$I,E8)</f>
        <v>96000</v>
      </c>
      <c r="J8" s="1">
        <f t="shared" ref="J8:J9" si="2">IF(E8="Planned","",I8-G8)</f>
        <v>56000</v>
      </c>
      <c r="K8" s="11">
        <f t="shared" ref="K8:K9" si="3">IF(E8="Planned","",J8/G8)</f>
        <v>1.4</v>
      </c>
    </row>
    <row r="9" spans="1:11" ht="30" x14ac:dyDescent="0.25">
      <c r="A9" s="1" t="s">
        <v>64</v>
      </c>
      <c r="B9" s="11">
        <f>IFERROR(B6/B3,0)</f>
        <v>0.52895250487963563</v>
      </c>
      <c r="D9" s="1" t="s">
        <v>14</v>
      </c>
      <c r="E9" s="1" t="s">
        <v>105</v>
      </c>
      <c r="F9" s="1">
        <f>SUMIFS(Crop_Cultivation!$C:$C,Crop_Cultivation!$D:$D,D9,Crop_Cultivation!$F:$F,E9)</f>
        <v>4</v>
      </c>
      <c r="G9" s="1">
        <f>SUMIFS(Expenses!$G:$G,Expenses!$J:$J,D9,Expenses!$K:$K,E9)</f>
        <v>153700</v>
      </c>
      <c r="H9" s="1">
        <f>SUMIFS(Harvest!$E:$E,Harvest!$G:$G,D9,Harvest!$H:$H,E9)</f>
        <v>0</v>
      </c>
      <c r="I9" s="1">
        <f>SUMIFS(Sales!$F:$F,Sales!$H:$H,D9,Sales!$I:$I,E9)</f>
        <v>0</v>
      </c>
      <c r="J9" s="1" t="str">
        <f t="shared" si="2"/>
        <v/>
      </c>
      <c r="K9" s="11" t="str">
        <f t="shared" si="3"/>
        <v/>
      </c>
    </row>
    <row r="10" spans="1:11" x14ac:dyDescent="0.25">
      <c r="A10" s="1"/>
      <c r="B10" s="1"/>
    </row>
    <row r="11" spans="1:11" x14ac:dyDescent="0.25">
      <c r="A11" s="2" t="s">
        <v>144</v>
      </c>
      <c r="B11" s="2" t="s">
        <v>145</v>
      </c>
      <c r="D11" s="2" t="s">
        <v>144</v>
      </c>
      <c r="E11" s="2" t="s">
        <v>145</v>
      </c>
    </row>
    <row r="12" spans="1:11" ht="30" x14ac:dyDescent="0.25">
      <c r="A12" s="1" t="s">
        <v>146</v>
      </c>
      <c r="B12" s="1">
        <f>SUMIFS(Crop_Cultivation!C:C,Crop_Cultivation!F:F,"Actual")</f>
        <v>4</v>
      </c>
      <c r="D12" s="1" t="s">
        <v>149</v>
      </c>
      <c r="E12" s="1">
        <f>SUM(Harvest!E:E)</f>
        <v>6590</v>
      </c>
    </row>
    <row r="13" spans="1:11" ht="30" x14ac:dyDescent="0.25">
      <c r="A13" s="1" t="s">
        <v>147</v>
      </c>
      <c r="B13" s="1">
        <v>4</v>
      </c>
      <c r="D13" s="1" t="s">
        <v>150</v>
      </c>
      <c r="E13" s="1">
        <f>SUM(Sales!D:D)</f>
        <v>6590</v>
      </c>
    </row>
    <row r="14" spans="1:11" ht="30" x14ac:dyDescent="0.25">
      <c r="A14" s="1" t="s">
        <v>148</v>
      </c>
      <c r="B14" s="1" t="str">
        <f>IF(B12=B13,"PASS","CHECK")</f>
        <v>PASS</v>
      </c>
      <c r="D14" s="1" t="s">
        <v>151</v>
      </c>
      <c r="E14" s="1">
        <f>B16-B17</f>
        <v>0</v>
      </c>
    </row>
    <row r="15" spans="1:11" ht="45" x14ac:dyDescent="0.25">
      <c r="B15" s="1"/>
      <c r="D15" s="1" t="s">
        <v>152</v>
      </c>
      <c r="E15" s="1" t="str">
        <f>IF(B18=0,"PASS","CHECK")</f>
        <v>PASS</v>
      </c>
    </row>
    <row r="16" spans="1:11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8545-70E7-41C7-8ADF-7136C9682359}">
  <dimension ref="A1:K5"/>
  <sheetViews>
    <sheetView showGridLines="0" tabSelected="1" zoomScaleNormal="100" workbookViewId="0">
      <selection activeCell="K5" sqref="K5"/>
    </sheetView>
  </sheetViews>
  <sheetFormatPr defaultRowHeight="15" x14ac:dyDescent="0.25"/>
  <cols>
    <col min="1" max="1" width="16.5703125" bestFit="1" customWidth="1"/>
    <col min="2" max="2" width="42.7109375" bestFit="1" customWidth="1"/>
    <col min="3" max="3" width="14.140625" bestFit="1" customWidth="1"/>
    <col min="5" max="5" width="13.28515625" bestFit="1" customWidth="1"/>
    <col min="7" max="7" width="10.5703125" bestFit="1" customWidth="1"/>
    <col min="9" max="9" width="10.85546875" bestFit="1" customWidth="1"/>
  </cols>
  <sheetData>
    <row r="1" spans="1:11" ht="28.5" x14ac:dyDescent="0.45">
      <c r="A1" s="19" t="s">
        <v>178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.75" x14ac:dyDescent="0.25">
      <c r="A2" s="20" t="s">
        <v>179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25">
      <c r="A3" s="22" t="s">
        <v>182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23" t="s">
        <v>180</v>
      </c>
      <c r="B4" s="23"/>
      <c r="C4" s="24" t="s">
        <v>58</v>
      </c>
      <c r="D4" s="24"/>
      <c r="E4" s="24" t="s">
        <v>60</v>
      </c>
      <c r="F4" s="24"/>
      <c r="G4" s="24" t="s">
        <v>61</v>
      </c>
      <c r="H4" s="24"/>
      <c r="I4" s="22" t="s">
        <v>181</v>
      </c>
      <c r="J4" s="22"/>
    </row>
    <row r="5" spans="1:11" x14ac:dyDescent="0.25">
      <c r="A5" s="16">
        <f>Summary!B2</f>
        <v>4</v>
      </c>
      <c r="B5" s="16"/>
      <c r="C5" s="17">
        <f>Summary!B3</f>
        <v>153700</v>
      </c>
      <c r="D5" s="17"/>
      <c r="E5" s="17">
        <f>Summary!B5</f>
        <v>235000</v>
      </c>
      <c r="F5" s="17"/>
      <c r="G5" s="17">
        <f>Summary!B6</f>
        <v>81300</v>
      </c>
      <c r="H5" s="17"/>
      <c r="I5" s="18">
        <f>Summary!B9</f>
        <v>0.52895250487963563</v>
      </c>
      <c r="J5" s="18"/>
    </row>
  </sheetData>
  <mergeCells count="13">
    <mergeCell ref="A1:K1"/>
    <mergeCell ref="A2:K2"/>
    <mergeCell ref="A3:K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5B7C-5B2F-48FF-AA20-66FC531F9B92}">
  <dimension ref="A1:B8"/>
  <sheetViews>
    <sheetView workbookViewId="0">
      <selection activeCell="B13" sqref="B13"/>
    </sheetView>
  </sheetViews>
  <sheetFormatPr defaultRowHeight="15" x14ac:dyDescent="0.25"/>
  <cols>
    <col min="1" max="1" width="29.140625" bestFit="1" customWidth="1"/>
    <col min="2" max="2" width="160" bestFit="1" customWidth="1"/>
  </cols>
  <sheetData>
    <row r="1" spans="1:2" x14ac:dyDescent="0.25">
      <c r="A1" s="14" t="s">
        <v>193</v>
      </c>
      <c r="B1" s="13"/>
    </row>
    <row r="2" spans="1:2" x14ac:dyDescent="0.25">
      <c r="A2" s="14" t="s">
        <v>194</v>
      </c>
      <c r="B2" s="14" t="s">
        <v>195</v>
      </c>
    </row>
    <row r="3" spans="1:2" x14ac:dyDescent="0.25">
      <c r="A3" s="15" t="s">
        <v>196</v>
      </c>
      <c r="B3" s="13" t="s">
        <v>202</v>
      </c>
    </row>
    <row r="4" spans="1:2" x14ac:dyDescent="0.25">
      <c r="A4" s="15" t="s">
        <v>197</v>
      </c>
      <c r="B4" s="13" t="s">
        <v>203</v>
      </c>
    </row>
    <row r="5" spans="1:2" x14ac:dyDescent="0.25">
      <c r="A5" s="15" t="s">
        <v>198</v>
      </c>
      <c r="B5" s="13" t="s">
        <v>204</v>
      </c>
    </row>
    <row r="6" spans="1:2" x14ac:dyDescent="0.25">
      <c r="A6" s="15" t="s">
        <v>199</v>
      </c>
      <c r="B6" s="13" t="s">
        <v>205</v>
      </c>
    </row>
    <row r="7" spans="1:2" x14ac:dyDescent="0.25">
      <c r="A7" s="15" t="s">
        <v>200</v>
      </c>
      <c r="B7" s="13" t="s">
        <v>206</v>
      </c>
    </row>
    <row r="8" spans="1:2" x14ac:dyDescent="0.25">
      <c r="A8" s="15" t="s">
        <v>201</v>
      </c>
      <c r="B8" s="13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F531-B538-4D84-9362-A81498489384}">
  <dimension ref="A1:G30"/>
  <sheetViews>
    <sheetView zoomScaleNormal="100" workbookViewId="0">
      <selection activeCell="G13" sqref="G13"/>
    </sheetView>
  </sheetViews>
  <sheetFormatPr defaultRowHeight="15" x14ac:dyDescent="0.25"/>
  <cols>
    <col min="1" max="1" width="11.85546875" style="5" customWidth="1"/>
    <col min="2" max="2" width="23.28515625" style="5" bestFit="1" customWidth="1"/>
    <col min="3" max="3" width="10.140625" style="5" customWidth="1"/>
    <col min="4" max="16384" width="9.140625" style="5"/>
  </cols>
  <sheetData>
    <row r="1" spans="1:7" ht="30" x14ac:dyDescent="0.25">
      <c r="A1" s="2" t="s">
        <v>153</v>
      </c>
      <c r="B1" s="2" t="s">
        <v>154</v>
      </c>
      <c r="C1" s="2" t="s">
        <v>155</v>
      </c>
      <c r="D1" s="2" t="s">
        <v>156</v>
      </c>
      <c r="E1" s="2"/>
      <c r="F1" s="2"/>
      <c r="G1" s="2"/>
    </row>
    <row r="2" spans="1:7" ht="30" x14ac:dyDescent="0.25">
      <c r="A2" s="1" t="s">
        <v>0</v>
      </c>
      <c r="B2" s="1" t="s">
        <v>157</v>
      </c>
      <c r="C2" s="1" t="s">
        <v>158</v>
      </c>
      <c r="D2" s="1" t="s">
        <v>5</v>
      </c>
      <c r="E2" s="1"/>
      <c r="F2" s="1"/>
      <c r="G2" s="1"/>
    </row>
    <row r="3" spans="1:7" x14ac:dyDescent="0.25">
      <c r="A3" s="1" t="s">
        <v>1</v>
      </c>
      <c r="B3" s="1" t="s">
        <v>159</v>
      </c>
      <c r="C3" s="1" t="s">
        <v>158</v>
      </c>
      <c r="D3" s="1" t="s">
        <v>9</v>
      </c>
      <c r="E3" s="1"/>
      <c r="F3" s="1"/>
      <c r="G3" s="1"/>
    </row>
    <row r="4" spans="1:7" x14ac:dyDescent="0.25">
      <c r="A4" s="1" t="s">
        <v>2</v>
      </c>
      <c r="B4" s="1" t="s">
        <v>160</v>
      </c>
      <c r="C4" s="1" t="s">
        <v>161</v>
      </c>
      <c r="D4" s="1">
        <v>2</v>
      </c>
      <c r="E4" s="1"/>
      <c r="F4" s="1"/>
      <c r="G4" s="1"/>
    </row>
    <row r="5" spans="1:7" ht="30" x14ac:dyDescent="0.25">
      <c r="A5" s="1" t="s">
        <v>3</v>
      </c>
      <c r="B5" s="1" t="s">
        <v>162</v>
      </c>
      <c r="C5" s="1" t="s">
        <v>158</v>
      </c>
      <c r="D5" s="1" t="s">
        <v>7</v>
      </c>
      <c r="E5" s="1"/>
      <c r="F5" s="1"/>
      <c r="G5" s="1"/>
    </row>
    <row r="6" spans="1:7" x14ac:dyDescent="0.25">
      <c r="A6" s="1" t="s">
        <v>4</v>
      </c>
      <c r="B6" s="1" t="s">
        <v>163</v>
      </c>
      <c r="C6" s="1" t="s">
        <v>161</v>
      </c>
      <c r="D6" s="1">
        <v>2026</v>
      </c>
      <c r="E6" s="1"/>
      <c r="F6" s="1"/>
      <c r="G6" s="1"/>
    </row>
    <row r="7" spans="1:7" ht="30" x14ac:dyDescent="0.25">
      <c r="A7" s="1" t="s">
        <v>103</v>
      </c>
      <c r="B7" s="1" t="s">
        <v>164</v>
      </c>
      <c r="C7" s="1" t="s">
        <v>158</v>
      </c>
      <c r="D7" s="1" t="s">
        <v>104</v>
      </c>
      <c r="E7" s="1"/>
      <c r="F7" s="1"/>
      <c r="G7" s="1"/>
    </row>
    <row r="8" spans="1:7" ht="30" x14ac:dyDescent="0.25">
      <c r="A8" s="1" t="s">
        <v>17</v>
      </c>
      <c r="B8" s="1" t="s">
        <v>165</v>
      </c>
      <c r="C8" s="1" t="s">
        <v>158</v>
      </c>
      <c r="D8" s="1" t="s">
        <v>24</v>
      </c>
      <c r="E8" s="1"/>
      <c r="F8" s="1"/>
      <c r="G8" s="1"/>
    </row>
    <row r="9" spans="1:7" ht="30" x14ac:dyDescent="0.25">
      <c r="A9" s="1" t="s">
        <v>0</v>
      </c>
      <c r="B9" s="1" t="s">
        <v>187</v>
      </c>
      <c r="C9" s="1" t="s">
        <v>158</v>
      </c>
      <c r="D9" s="1" t="s">
        <v>8</v>
      </c>
      <c r="E9" s="1"/>
      <c r="F9" s="1"/>
      <c r="G9" s="1"/>
    </row>
    <row r="10" spans="1:7" x14ac:dyDescent="0.25">
      <c r="A10" s="1" t="s">
        <v>18</v>
      </c>
      <c r="B10" s="1" t="s">
        <v>166</v>
      </c>
      <c r="C10" s="1" t="s">
        <v>158</v>
      </c>
      <c r="D10" s="1" t="s">
        <v>25</v>
      </c>
      <c r="E10" s="1"/>
      <c r="F10" s="1"/>
      <c r="G10" s="1"/>
    </row>
    <row r="11" spans="1:7" x14ac:dyDescent="0.25">
      <c r="A11" s="1" t="s">
        <v>19</v>
      </c>
      <c r="B11" s="1" t="s">
        <v>167</v>
      </c>
      <c r="C11" s="1" t="s">
        <v>158</v>
      </c>
      <c r="D11" s="1" t="s">
        <v>37</v>
      </c>
      <c r="E11" s="1"/>
      <c r="F11" s="1"/>
      <c r="G11" s="1"/>
    </row>
    <row r="12" spans="1:7" ht="30" x14ac:dyDescent="0.25">
      <c r="A12" s="1" t="s">
        <v>20</v>
      </c>
      <c r="B12" s="1" t="s">
        <v>168</v>
      </c>
      <c r="C12" s="1" t="s">
        <v>161</v>
      </c>
      <c r="D12" s="1">
        <v>3000</v>
      </c>
      <c r="E12" s="1"/>
      <c r="F12" s="1"/>
      <c r="G12" s="1"/>
    </row>
    <row r="13" spans="1:7" ht="30" x14ac:dyDescent="0.25">
      <c r="A13" s="1" t="s">
        <v>21</v>
      </c>
      <c r="B13" s="1" t="s">
        <v>169</v>
      </c>
      <c r="C13" s="1" t="s">
        <v>161</v>
      </c>
      <c r="D13" s="1">
        <v>2</v>
      </c>
      <c r="E13" s="1"/>
      <c r="F13" s="1"/>
      <c r="G13" s="1"/>
    </row>
    <row r="14" spans="1:7" x14ac:dyDescent="0.25">
      <c r="A14" s="1" t="s">
        <v>22</v>
      </c>
      <c r="B14" s="1" t="s">
        <v>170</v>
      </c>
      <c r="C14" s="1" t="s">
        <v>161</v>
      </c>
      <c r="D14" s="1">
        <v>6000</v>
      </c>
      <c r="E14" s="1"/>
      <c r="F14" s="1"/>
      <c r="G14" s="1"/>
    </row>
    <row r="15" spans="1:7" ht="30" x14ac:dyDescent="0.25">
      <c r="A15" s="1" t="s">
        <v>23</v>
      </c>
      <c r="B15" s="1" t="s">
        <v>188</v>
      </c>
      <c r="C15" s="1" t="s">
        <v>158</v>
      </c>
      <c r="D15" s="1" t="s">
        <v>26</v>
      </c>
      <c r="E15" s="1"/>
      <c r="F15" s="1"/>
      <c r="G15" s="1"/>
    </row>
    <row r="16" spans="1:7" x14ac:dyDescent="0.25">
      <c r="A16" s="1" t="s">
        <v>46</v>
      </c>
      <c r="B16" s="1" t="s">
        <v>171</v>
      </c>
      <c r="C16" s="1" t="s">
        <v>158</v>
      </c>
      <c r="D16" s="1" t="s">
        <v>50</v>
      </c>
      <c r="E16" s="1"/>
      <c r="F16" s="1"/>
      <c r="G16" s="1"/>
    </row>
    <row r="17" spans="1:7" ht="30" x14ac:dyDescent="0.25">
      <c r="A17" s="1" t="s">
        <v>0</v>
      </c>
      <c r="B17" s="1" t="s">
        <v>189</v>
      </c>
      <c r="C17" s="1" t="s">
        <v>158</v>
      </c>
      <c r="D17" s="1" t="s">
        <v>8</v>
      </c>
      <c r="E17" s="1"/>
      <c r="F17" s="1"/>
      <c r="G17" s="1"/>
    </row>
    <row r="18" spans="1:7" x14ac:dyDescent="0.25">
      <c r="A18" s="1" t="s">
        <v>1</v>
      </c>
      <c r="B18" s="1" t="s">
        <v>183</v>
      </c>
      <c r="C18" s="1" t="s">
        <v>158</v>
      </c>
      <c r="D18" s="1" t="s">
        <v>9</v>
      </c>
      <c r="E18" s="1"/>
      <c r="F18" s="1"/>
      <c r="G18" s="1"/>
    </row>
    <row r="19" spans="1:7" ht="30" x14ac:dyDescent="0.25">
      <c r="A19" s="1" t="s">
        <v>47</v>
      </c>
      <c r="B19" s="1" t="s">
        <v>184</v>
      </c>
      <c r="C19" s="1" t="s">
        <v>161</v>
      </c>
      <c r="D19" s="1">
        <v>1</v>
      </c>
      <c r="E19" s="1"/>
      <c r="F19" s="1"/>
      <c r="G19" s="1"/>
    </row>
    <row r="20" spans="1:7" x14ac:dyDescent="0.25">
      <c r="A20" s="1" t="s">
        <v>48</v>
      </c>
      <c r="B20" s="1" t="s">
        <v>172</v>
      </c>
      <c r="C20" s="1" t="s">
        <v>161</v>
      </c>
      <c r="D20" s="1">
        <v>5000</v>
      </c>
      <c r="E20" s="1"/>
      <c r="F20" s="1"/>
      <c r="G20" s="1"/>
    </row>
    <row r="21" spans="1:7" ht="30" x14ac:dyDescent="0.25">
      <c r="A21" s="1" t="s">
        <v>49</v>
      </c>
      <c r="B21" s="1" t="s">
        <v>190</v>
      </c>
      <c r="C21" s="1" t="s">
        <v>158</v>
      </c>
      <c r="D21" s="1" t="s">
        <v>26</v>
      </c>
      <c r="E21" s="1"/>
      <c r="F21" s="1"/>
      <c r="G21" s="1"/>
    </row>
    <row r="22" spans="1:7" ht="30" x14ac:dyDescent="0.25">
      <c r="A22" s="1" t="s">
        <v>3</v>
      </c>
      <c r="B22" s="1" t="s">
        <v>162</v>
      </c>
      <c r="C22" s="1" t="s">
        <v>158</v>
      </c>
      <c r="D22" s="1" t="s">
        <v>7</v>
      </c>
      <c r="E22" s="1"/>
      <c r="F22" s="1"/>
      <c r="G22" s="1"/>
    </row>
    <row r="23" spans="1:7" ht="30" x14ac:dyDescent="0.25">
      <c r="A23" s="1" t="s">
        <v>103</v>
      </c>
      <c r="B23" s="1" t="s">
        <v>164</v>
      </c>
      <c r="C23" s="1" t="s">
        <v>158</v>
      </c>
      <c r="D23" s="1" t="s">
        <v>104</v>
      </c>
      <c r="E23" s="1"/>
      <c r="F23" s="1"/>
      <c r="G23" s="1"/>
    </row>
    <row r="24" spans="1:7" x14ac:dyDescent="0.25">
      <c r="A24" s="1" t="s">
        <v>51</v>
      </c>
      <c r="B24" s="1" t="s">
        <v>173</v>
      </c>
      <c r="C24" s="1" t="s">
        <v>158</v>
      </c>
      <c r="D24" s="1" t="s">
        <v>54</v>
      </c>
      <c r="E24" s="1"/>
      <c r="F24" s="1"/>
      <c r="G24" s="1"/>
    </row>
    <row r="25" spans="1:7" ht="30" x14ac:dyDescent="0.25">
      <c r="A25" s="1" t="s">
        <v>0</v>
      </c>
      <c r="B25" s="1" t="s">
        <v>191</v>
      </c>
      <c r="C25" s="1" t="s">
        <v>158</v>
      </c>
      <c r="D25" s="1" t="s">
        <v>8</v>
      </c>
      <c r="E25" s="1"/>
      <c r="F25" s="1"/>
      <c r="G25" s="1"/>
    </row>
    <row r="26" spans="1:7" x14ac:dyDescent="0.25">
      <c r="A26" s="1" t="s">
        <v>1</v>
      </c>
      <c r="B26" s="1" t="s">
        <v>185</v>
      </c>
      <c r="C26" s="1" t="s">
        <v>158</v>
      </c>
      <c r="D26" s="1" t="s">
        <v>9</v>
      </c>
    </row>
    <row r="27" spans="1:7" x14ac:dyDescent="0.25">
      <c r="A27" s="1" t="s">
        <v>48</v>
      </c>
      <c r="B27" s="1" t="s">
        <v>186</v>
      </c>
      <c r="C27" s="1" t="s">
        <v>161</v>
      </c>
      <c r="D27" s="1">
        <v>5000</v>
      </c>
    </row>
    <row r="28" spans="1:7" ht="30" x14ac:dyDescent="0.25">
      <c r="A28" s="1" t="s">
        <v>52</v>
      </c>
      <c r="B28" s="1" t="s">
        <v>174</v>
      </c>
      <c r="C28" s="1" t="s">
        <v>161</v>
      </c>
      <c r="D28" s="1">
        <v>20</v>
      </c>
    </row>
    <row r="29" spans="1:7" ht="30" x14ac:dyDescent="0.25">
      <c r="A29" s="1" t="s">
        <v>53</v>
      </c>
      <c r="B29" s="1" t="s">
        <v>175</v>
      </c>
      <c r="C29" s="1" t="s">
        <v>161</v>
      </c>
      <c r="D29" s="1">
        <v>100000</v>
      </c>
    </row>
    <row r="30" spans="1:7" ht="30" x14ac:dyDescent="0.25">
      <c r="A30" s="1" t="s">
        <v>49</v>
      </c>
      <c r="B30" s="1" t="s">
        <v>192</v>
      </c>
      <c r="C30" s="1" t="s">
        <v>158</v>
      </c>
      <c r="D30" s="1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CA033F6564D4EA8EC61A4CDFEC04E" ma:contentTypeVersion="4" ma:contentTypeDescription="Create a new document." ma:contentTypeScope="" ma:versionID="e2a856b08a34fa5e395ce7363bcdbf5e">
  <xsd:schema xmlns:xsd="http://www.w3.org/2001/XMLSchema" xmlns:xs="http://www.w3.org/2001/XMLSchema" xmlns:p="http://schemas.microsoft.com/office/2006/metadata/properties" xmlns:ns3="387fb7f6-eb0e-4bd6-9f7b-5d79ea843a03" targetNamespace="http://schemas.microsoft.com/office/2006/metadata/properties" ma:root="true" ma:fieldsID="018928f28ef0ef80c9ced98de23bd955" ns3:_="">
    <xsd:import namespace="387fb7f6-eb0e-4bd6-9f7b-5d79ea843a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fb7f6-eb0e-4bd6-9f7b-5d79ea843a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9C99D-79FA-4581-8832-2E273D0E30F8}">
  <ds:schemaRefs>
    <ds:schemaRef ds:uri="http://schemas.microsoft.com/office/2006/documentManagement/types"/>
    <ds:schemaRef ds:uri="http://schemas.microsoft.com/office/2006/metadata/properties"/>
    <ds:schemaRef ds:uri="387fb7f6-eb0e-4bd6-9f7b-5d79ea843a03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E6BE4C3-2789-40DC-80A7-048CBCC8E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BB65DB-A6F4-401B-966E-B488AF1FA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fb7f6-eb0e-4bd6-9f7b-5d79ea843a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Crop_Cultivation</vt:lpstr>
      <vt:lpstr>Expenses</vt:lpstr>
      <vt:lpstr>Harvest</vt:lpstr>
      <vt:lpstr>Sales</vt:lpstr>
      <vt:lpstr>Summary</vt:lpstr>
      <vt:lpstr>Dashboard</vt:lpstr>
      <vt:lpstr>Insights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S0345790</dc:creator>
  <cp:lastModifiedBy>S0345790</cp:lastModifiedBy>
  <dcterms:created xsi:type="dcterms:W3CDTF">2026-08-27T16:38:12Z</dcterms:created>
  <dcterms:modified xsi:type="dcterms:W3CDTF">2026-09-02T07:30:21Z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0x0101005C0CA033F6564D4EA8EC61A4CDFEC04E</vt:lpwstr>
  </property>
</Properties>
</file>